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807"/>
  </bookViews>
  <sheets>
    <sheet name="测试策略1" sheetId="1" r:id="rId1"/>
    <sheet name="测试策略2" sheetId="3" r:id="rId2"/>
    <sheet name="测试策略3" sheetId="4" r:id="rId3"/>
    <sheet name="测试策略4" sheetId="5" r:id="rId4"/>
    <sheet name="测试策略5" sheetId="6" r:id="rId5"/>
    <sheet name="测试策略6" sheetId="7" r:id="rId6"/>
    <sheet name="测试策略7" sheetId="8" r:id="rId7"/>
    <sheet name="测试策略8" sheetId="9" r:id="rId8"/>
    <sheet name="测试策略9" sheetId="10" r:id="rId9"/>
    <sheet name="测试策略10" sheetId="11" r:id="rId10"/>
    <sheet name="测试策略11" sheetId="12" r:id="rId11"/>
    <sheet name="测试策略12" sheetId="13" r:id="rId12"/>
  </sheets>
  <definedNames>
    <definedName name="_xlnm._FilterDatabase" localSheetId="0" hidden="1">测试策略1!$A$142:$I$184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<sst xmlns="http://schemas.openxmlformats.org/spreadsheetml/2006/main" count="2562" uniqueCount="914">
  <si>
    <t>固定参数</t>
  </si>
  <si>
    <t>1、龙头股票池</t>
  </si>
  <si>
    <t>2、总市值&gt;=100亿&amp;&lt;200亿且换手率大于10%、总市值&gt;=200亿且换手率大于5%</t>
  </si>
  <si>
    <t>调整的参数</t>
  </si>
  <si>
    <t>值</t>
  </si>
  <si>
    <t>说明</t>
  </si>
  <si>
    <t>绝对位置1年</t>
  </si>
  <si>
    <t>&lt;30</t>
  </si>
  <si>
    <t>近一年从底部涨幅不超过30%的股票</t>
  </si>
  <si>
    <t>相对位置3</t>
  </si>
  <si>
    <t>股票当前处于近3年的历史低位30%以下</t>
  </si>
  <si>
    <t>买卖点</t>
  </si>
  <si>
    <t>一买、二买、三买、双底（双底天数&lt;=10）</t>
  </si>
  <si>
    <t>寻找前期支撑位</t>
  </si>
  <si>
    <t>RSI</t>
  </si>
  <si>
    <t>RSI低于20属于超卖（见底表现），高于80是超买（见顶表现）</t>
  </si>
  <si>
    <t>热门概念</t>
  </si>
  <si>
    <t>人工智能、算力、智能驾驶、新能源汽车、6G、商业航天、低空经济、人形机器人、工业自动化、创新药、基因技术、消费、芯片</t>
  </si>
  <si>
    <t>近期热门板块概念</t>
  </si>
  <si>
    <t>股票名称</t>
  </si>
  <si>
    <t>股票代码</t>
  </si>
  <si>
    <t>买入日期</t>
  </si>
  <si>
    <t>买入价格（开盘价）</t>
  </si>
  <si>
    <t>卖出日期</t>
  </si>
  <si>
    <t>卖出价格/收盘价</t>
  </si>
  <si>
    <t>收益</t>
  </si>
  <si>
    <t>形态</t>
  </si>
  <si>
    <t>备注</t>
  </si>
  <si>
    <t>大全能源</t>
  </si>
  <si>
    <t>688303.SH</t>
  </si>
  <si>
    <t>二买</t>
  </si>
  <si>
    <t>60分钟死叉卖出</t>
  </si>
  <si>
    <t>永兴材料</t>
  </si>
  <si>
    <t>002756.SZ</t>
  </si>
  <si>
    <t>跌破60分钟支撑34.3止损</t>
  </si>
  <si>
    <t>盛新锂能</t>
  </si>
  <si>
    <t>002240.SZ</t>
  </si>
  <si>
    <t>跌破12.7止损</t>
  </si>
  <si>
    <t>天齐锂业</t>
  </si>
  <si>
    <t>002466.SZ</t>
  </si>
  <si>
    <t>跌破29.85止损</t>
  </si>
  <si>
    <t>跌破19.87止损</t>
  </si>
  <si>
    <t>迈为股份</t>
  </si>
  <si>
    <t>300751.SZ</t>
  </si>
  <si>
    <t>跌破84止损</t>
  </si>
  <si>
    <t>杉杉股份</t>
  </si>
  <si>
    <t>600884.SH</t>
  </si>
  <si>
    <t>双底</t>
  </si>
  <si>
    <t>跌破6.81止损</t>
  </si>
  <si>
    <t>跌破33止损</t>
  </si>
  <si>
    <t>跌破81.5止损</t>
  </si>
  <si>
    <t>跌破12.56止损</t>
  </si>
  <si>
    <t>湘电股份</t>
  </si>
  <si>
    <t>600416.SH</t>
  </si>
  <si>
    <t>放弃，开盘价跌破建议开仓点位</t>
  </si>
  <si>
    <t>三买</t>
  </si>
  <si>
    <t>10.64附近开仓</t>
  </si>
  <si>
    <t>晶科能源</t>
  </si>
  <si>
    <t>688223.SH</t>
  </si>
  <si>
    <t>6.22附近开仓</t>
  </si>
  <si>
    <t>阿特斯</t>
  </si>
  <si>
    <t>688472.SH</t>
  </si>
  <si>
    <t>9.68附近开仓</t>
  </si>
  <si>
    <t>拉普拉斯</t>
  </si>
  <si>
    <t>688726.SH</t>
  </si>
  <si>
    <t>42元附近开仓</t>
  </si>
  <si>
    <t>和辉光电-U</t>
  </si>
  <si>
    <t>688538.SH</t>
  </si>
  <si>
    <t>1.95附近开仓</t>
  </si>
  <si>
    <t>晶澳科技</t>
  </si>
  <si>
    <t>002459.SZ</t>
  </si>
  <si>
    <t>9.5附近开仓，跌破9.44止损，止损</t>
  </si>
  <si>
    <t>通威股份</t>
  </si>
  <si>
    <t>600438.SH</t>
  </si>
  <si>
    <t>16.8附近开仓，跌破16.48止损，18.56附近止盈，止损</t>
  </si>
  <si>
    <t>TCL中环</t>
  </si>
  <si>
    <t>002129.SZ</t>
  </si>
  <si>
    <t>跌破7.43止损，8.1附近止盈，盈利后破5日线止盈</t>
  </si>
  <si>
    <t>福莱特</t>
  </si>
  <si>
    <t>601865.SH</t>
  </si>
  <si>
    <t>跌破14.67止损，17.8附近止盈，盈利后破5日线止盈</t>
  </si>
  <si>
    <t>龙旗科技</t>
  </si>
  <si>
    <t>603341.SH</t>
  </si>
  <si>
    <t>跌破34.3止损，37.85附近止盈</t>
  </si>
  <si>
    <t>康冠科技</t>
  </si>
  <si>
    <t>001308.SZ</t>
  </si>
  <si>
    <t>跌破17.56止损，19.98附近止盈</t>
  </si>
  <si>
    <t>中电港</t>
  </si>
  <si>
    <t>001287.SZ</t>
  </si>
  <si>
    <t>跌破15.11止损，17.7附近止盈</t>
  </si>
  <si>
    <t>江特电机</t>
  </si>
  <si>
    <t>002176.SZ</t>
  </si>
  <si>
    <t>6.2附近开仓</t>
  </si>
  <si>
    <t>北斗星通</t>
  </si>
  <si>
    <t>002151.SZ</t>
  </si>
  <si>
    <t>22.13附近开仓</t>
  </si>
  <si>
    <t>中国宝安</t>
  </si>
  <si>
    <t>000009.SZ</t>
  </si>
  <si>
    <t>7.1附近开仓</t>
  </si>
  <si>
    <t>天顺风能</t>
  </si>
  <si>
    <t>002531.SZ</t>
  </si>
  <si>
    <t>跌破6.38止损，7.05附近止盈，止损</t>
  </si>
  <si>
    <t>中复神鹰</t>
  </si>
  <si>
    <t>688295.SH</t>
  </si>
  <si>
    <t>17附近开仓</t>
  </si>
  <si>
    <t>美锦能源</t>
  </si>
  <si>
    <t>000723.SZ</t>
  </si>
  <si>
    <t>跌破4.05止损，4.5附近止盈，盈利后破5日线止盈</t>
  </si>
  <si>
    <t>弘元绿能</t>
  </si>
  <si>
    <t>603185.SH</t>
  </si>
  <si>
    <t>跌破11.97止损，14.46附近止盈，盈利后破5日线止盈</t>
  </si>
  <si>
    <t>一买</t>
  </si>
  <si>
    <t>跌破5.13止损，5.43附近开仓</t>
  </si>
  <si>
    <t>金域医学</t>
  </si>
  <si>
    <t>603882.SH</t>
  </si>
  <si>
    <t>跌破27.2止损，28.2附近开仓，30.5止盈</t>
  </si>
  <si>
    <t>捷佳伟创</t>
  </si>
  <si>
    <t>300724.SZ</t>
  </si>
  <si>
    <t>跌破48.71止损，51附近开仓</t>
  </si>
  <si>
    <t>三安光电</t>
  </si>
  <si>
    <t>600703.SH</t>
  </si>
  <si>
    <t>跌破10.23止损，10.5附近开仓</t>
  </si>
  <si>
    <t>恩捷股份</t>
  </si>
  <si>
    <t>002812.SZ</t>
  </si>
  <si>
    <t>跌破26.7止损，27.7附近开仓</t>
  </si>
  <si>
    <t>24.6附近开仓</t>
  </si>
  <si>
    <t>中矿资源</t>
  </si>
  <si>
    <t>002738.SZ</t>
  </si>
  <si>
    <t>25.21附近开仓</t>
  </si>
  <si>
    <t>三一重能</t>
  </si>
  <si>
    <t>688349.SH</t>
  </si>
  <si>
    <t>21.94附近开仓</t>
  </si>
  <si>
    <t>多氟多</t>
  </si>
  <si>
    <t>002407.SZ</t>
  </si>
  <si>
    <t>9.3附近开仓</t>
  </si>
  <si>
    <t>创新新材</t>
  </si>
  <si>
    <t>600361.SH</t>
  </si>
  <si>
    <t>3.39附近开仓</t>
  </si>
  <si>
    <t>九洲药业</t>
  </si>
  <si>
    <t>603456.SH</t>
  </si>
  <si>
    <t>11.83附近开仓</t>
  </si>
  <si>
    <t>千方科技</t>
  </si>
  <si>
    <t>002373.SZ</t>
  </si>
  <si>
    <t>7.15附近开仓</t>
  </si>
  <si>
    <t>10.5附近开仓</t>
  </si>
  <si>
    <t>8.86附近开仓</t>
  </si>
  <si>
    <t>大中矿业</t>
  </si>
  <si>
    <t>001203.SZ</t>
  </si>
  <si>
    <t>7元附近开仓</t>
  </si>
  <si>
    <t>6元附近开仓</t>
  </si>
  <si>
    <t>东方日升</t>
  </si>
  <si>
    <t>300118.SZ</t>
  </si>
  <si>
    <t>8.4附近开仓</t>
  </si>
  <si>
    <t>华厦眼科</t>
  </si>
  <si>
    <t>301267.SZ</t>
  </si>
  <si>
    <t>17.98附近开仓</t>
  </si>
  <si>
    <t>通策医疗</t>
  </si>
  <si>
    <t>600763.SH</t>
  </si>
  <si>
    <t>40元附近开仓，跌破39.38止损</t>
  </si>
  <si>
    <t>上面的开仓点位在股票到达最低点时开仓，开仓以后走势容易继续下行，不是特别理想，胜率比较低，放弃</t>
  </si>
  <si>
    <t>以下开仓点选在个股出现大阳线（5%），形成日线底分型，或者突破底部小平台，次日在大阳线二分之一的位置购买，如果股票跌破大阳线实体则止损。盈利5%以后跌破均线则止盈</t>
  </si>
  <si>
    <t>次日27.6附近开仓，止损价27.56，日线顶分型了16日10点平仓</t>
  </si>
  <si>
    <t>次日23.42附近开仓，止损价23.29，日线顶分型了16日10点平仓</t>
  </si>
  <si>
    <t>9月8日5.89附近开仓，5.7止损，止损</t>
  </si>
  <si>
    <t>6月5日9.33附近开仓，止损价9.23，盈利5%以后跌破均线则止盈</t>
  </si>
  <si>
    <t>次日16.52附近开仓，止损价16.38，日线顶分型了16日10点平仓</t>
  </si>
  <si>
    <t>铁建重工</t>
  </si>
  <si>
    <t>688425.SH</t>
  </si>
  <si>
    <t>6月4日3.98开仓，止损价3.95，止损</t>
  </si>
  <si>
    <t>上大股份</t>
  </si>
  <si>
    <t>301522.SZ</t>
  </si>
  <si>
    <t>次日32.44附近开仓，止损价31.74，次日最低价没有到达32.44附近，放弃开仓</t>
  </si>
  <si>
    <t>沃森生物</t>
  </si>
  <si>
    <t>300142.SZ</t>
  </si>
  <si>
    <t>次日10.19附近开仓，止损价10.07，日线顶分型，次日逢高卖出</t>
  </si>
  <si>
    <t>类三买</t>
  </si>
  <si>
    <t>22日41.2附近开仓，跌破40.51止损，止损</t>
  </si>
  <si>
    <t>次日6.51附近开仓，止损价6.43，次日最低价没有到达6.51附近，放弃开仓</t>
  </si>
  <si>
    <t>次日9.14附近开仓，止损价8.93，次日最低价没有到达9.14附近，放弃开仓</t>
  </si>
  <si>
    <t>禾迈股份</t>
  </si>
  <si>
    <t>688032.SH</t>
  </si>
  <si>
    <t>次日102.55附近开仓，止损价101.94，止损</t>
  </si>
  <si>
    <t>洽洽食品</t>
  </si>
  <si>
    <t>002557.SZ</t>
  </si>
  <si>
    <t>21日23.48附近开仓，跌破23.25止损，止损</t>
  </si>
  <si>
    <t>陕建股份</t>
  </si>
  <si>
    <t>600248.SH</t>
  </si>
  <si>
    <t>30日3.81附近开仓，跌破3.78止损，日线顶分型 卖出</t>
  </si>
  <si>
    <t>7月9日开仓，跌破55止损，破5日线止损</t>
  </si>
  <si>
    <t>30日6.52附近开仓，跌破6.37止损，回踩5日线，止盈</t>
  </si>
  <si>
    <t>7月3日开盘低于2个点购买，止损价7.64，回踩5日线，止损</t>
  </si>
  <si>
    <t>7月9日开仓，跌破70.45止损，破5日线止损</t>
  </si>
  <si>
    <t>美好医疗</t>
  </si>
  <si>
    <t>301363.SZ</t>
  </si>
  <si>
    <t>6月10日17.33附近开仓，跌破17.15止损，止损</t>
  </si>
  <si>
    <t>6月19日8.65开仓，跌破8.4止损，破5日线平仓，止盈</t>
  </si>
  <si>
    <t>爱博医疗</t>
  </si>
  <si>
    <t>688050.SH</t>
  </si>
  <si>
    <t>6月10日71.96开仓，跌破70.93止损，止损</t>
  </si>
  <si>
    <t>口子窖</t>
  </si>
  <si>
    <t>603589.SH</t>
  </si>
  <si>
    <t>9月18日开仓，止损价34.06，止损</t>
  </si>
  <si>
    <t>珀莱雅</t>
  </si>
  <si>
    <t>603605.SH</t>
  </si>
  <si>
    <t>7月25日开仓，止损价82.64，止损</t>
  </si>
  <si>
    <t>7月3日开盘低于2个点购买，止损价9.8，回踩5日线止损</t>
  </si>
  <si>
    <t>6月18日26.35附近开仓，跌破26.05止损，长上影27日卖出，止盈</t>
  </si>
  <si>
    <t>7月16日开盘低于2个点购买，止损价28.46，破5日线平仓</t>
  </si>
  <si>
    <t>旗滨集团</t>
  </si>
  <si>
    <t>601636.SH</t>
  </si>
  <si>
    <t>7月3日开盘低于2个点购买，止损价5.69，破5日线平仓</t>
  </si>
  <si>
    <t>隆平高科</t>
  </si>
  <si>
    <t>000998.SZ</t>
  </si>
  <si>
    <t>10.05附近开仓，止损价9.97，止损</t>
  </si>
  <si>
    <t>大北农</t>
  </si>
  <si>
    <t>002385.SZ</t>
  </si>
  <si>
    <t>11月12日开仓，止损价4.18，止损</t>
  </si>
  <si>
    <t>11月11日开仓，止损价43.47，顶分型，平仓</t>
  </si>
  <si>
    <t>7月3日开盘低于2个点购买，止损价31.39，回踩5日线止损</t>
  </si>
  <si>
    <t>大悦城</t>
  </si>
  <si>
    <t>000031.SZ</t>
  </si>
  <si>
    <t>9月26日开仓，止损价3.11，平仓日线顶分型</t>
  </si>
  <si>
    <t>中交设计</t>
  </si>
  <si>
    <t>600720.SH</t>
  </si>
  <si>
    <t>1月13日开仓，止损价7.31，止损</t>
  </si>
  <si>
    <t>1月6日开仓，止损价62，顶分型 平仓</t>
  </si>
  <si>
    <t>8月18日开仓，6.74附近开仓，止损价6.52，日线顶分型平仓</t>
  </si>
  <si>
    <t>8月19日开仓，9.43附近开仓，止损价9.05，日线顶分型平仓</t>
  </si>
  <si>
    <t>潞安环能</t>
  </si>
  <si>
    <t>601699.SH</t>
  </si>
  <si>
    <t>1月7日开仓，止损价11.95，日线顶分型平仓</t>
  </si>
  <si>
    <t>太极集团</t>
  </si>
  <si>
    <t>600129.SH</t>
  </si>
  <si>
    <t>9月25日开仓，跌破20.85止损，止损</t>
  </si>
  <si>
    <t>红日药业</t>
  </si>
  <si>
    <t>300026.SZ</t>
  </si>
  <si>
    <t>12月5日开仓，止损价3.75，止损</t>
  </si>
  <si>
    <t>宝信软件</t>
  </si>
  <si>
    <t>600845.SH</t>
  </si>
  <si>
    <t>9月25日23附近开仓，跌破22.48止损，止损</t>
  </si>
  <si>
    <t>盐 田 港</t>
  </si>
  <si>
    <t>000088.SZ</t>
  </si>
  <si>
    <t>9月17日买日，止损价4.48，止损</t>
  </si>
  <si>
    <t>广汇能源</t>
  </si>
  <si>
    <t>600256.SH</t>
  </si>
  <si>
    <t>10月10日开仓，止损价5.08，止损，跌破平台</t>
  </si>
  <si>
    <t>健友股份</t>
  </si>
  <si>
    <t>603707.SH</t>
  </si>
  <si>
    <t>10月28日开仓，止损价9.49，日线顶分型平仓</t>
  </si>
  <si>
    <t>10月27日开仓，止损价21.5，日线顶分型 平仓</t>
  </si>
  <si>
    <t>三诺生物</t>
  </si>
  <si>
    <t>300298.SZ</t>
  </si>
  <si>
    <t>9月25日20附近开仓，跌破19.63止损，止损</t>
  </si>
  <si>
    <t>抚顺特钢</t>
  </si>
  <si>
    <t>600399.SH</t>
  </si>
  <si>
    <t>已经涨起来了放弃</t>
  </si>
  <si>
    <t>10月10日开仓，止损价32.7，止损</t>
  </si>
  <si>
    <t>以岭药业</t>
  </si>
  <si>
    <t>002603.SZ</t>
  </si>
  <si>
    <t>10月10日开仓，止损价15.93</t>
  </si>
  <si>
    <t>智飞生物</t>
  </si>
  <si>
    <t>300122.SZ</t>
  </si>
  <si>
    <t>1月6日开仓，止损价19.11，日线顶分型平仓</t>
  </si>
  <si>
    <t>中化国际</t>
  </si>
  <si>
    <t>600500.SH</t>
  </si>
  <si>
    <t>11月10日开仓，止损价4.2，日线顶分型平仓</t>
  </si>
  <si>
    <t>11月11日开仓，止损价71.51，止损</t>
  </si>
  <si>
    <t>1月13日开仓，止损价18.66，日线顶分型 平仓</t>
  </si>
  <si>
    <t>天有为</t>
  </si>
  <si>
    <t>603202.SH</t>
  </si>
  <si>
    <t>1月7日开仓，止损价92.07，日线顶分型平仓</t>
  </si>
  <si>
    <t>类二买</t>
  </si>
  <si>
    <t>11月8日开仓，止损价30.72，平仓日线顶分型</t>
  </si>
  <si>
    <t>首航新能</t>
  </si>
  <si>
    <t>301658.SZ</t>
  </si>
  <si>
    <t>12月15日开仓，止损价30，止损</t>
  </si>
  <si>
    <t>三峡水利</t>
  </si>
  <si>
    <t>600116.SH</t>
  </si>
  <si>
    <t>12月17日开仓，止损价6.35，日线顶分型 平仓</t>
  </si>
  <si>
    <t>天坛生物</t>
  </si>
  <si>
    <t>600161.SH</t>
  </si>
  <si>
    <t>12月25日开仓，止损价16.06，日线顶分型 平仓</t>
  </si>
  <si>
    <t>韵达股份</t>
  </si>
  <si>
    <t>002120.SZ</t>
  </si>
  <si>
    <t>1月7日开仓，止损价6.81，日线顶分型 平仓</t>
  </si>
  <si>
    <t>顺鑫农业</t>
  </si>
  <si>
    <t>000860.SZ</t>
  </si>
  <si>
    <t>1月7日开仓，止损价14.76，日线顶分型 平仓</t>
  </si>
  <si>
    <t>中船科技</t>
  </si>
  <si>
    <t>600072.SH</t>
  </si>
  <si>
    <t>1月9日开仓，止损价11.92，止损</t>
  </si>
  <si>
    <t>以下开仓根据六脉神剑指标，当出现6红就开仓，出现3绿就平仓，测试下效果，出现开仓信号当天涨停的不参与</t>
  </si>
  <si>
    <t>12月22日开仓，止损（4绿）</t>
  </si>
  <si>
    <t>12月25日开仓，平仓（4绿）</t>
  </si>
  <si>
    <t>12月30日开仓，平仓（3绿）</t>
  </si>
  <si>
    <t>12月26日开仓，平仓（4绿）</t>
  </si>
  <si>
    <t>无线传媒</t>
  </si>
  <si>
    <t>301551.SZ</t>
  </si>
  <si>
    <t>1月6日开仓，平仓（4绿）</t>
  </si>
  <si>
    <t>粤电力Ａ</t>
  </si>
  <si>
    <t>000539.SZ</t>
  </si>
  <si>
    <t>1月9日开仓，平仓（3绿）</t>
  </si>
  <si>
    <t>中国医药</t>
  </si>
  <si>
    <t>600056.SH</t>
  </si>
  <si>
    <t>金地集团</t>
  </si>
  <si>
    <t>600383.SH</t>
  </si>
  <si>
    <t>1月12日开仓，平仓（4绿）</t>
  </si>
  <si>
    <t>九安医疗</t>
  </si>
  <si>
    <t>002432.SZ</t>
  </si>
  <si>
    <t>1月7日开仓，平仓（4绿）</t>
  </si>
  <si>
    <t>贝泰妮</t>
  </si>
  <si>
    <t>300957.SZ</t>
  </si>
  <si>
    <t>华电新能</t>
  </si>
  <si>
    <t>600930.SH</t>
  </si>
  <si>
    <t>2月25日开仓，平仓（4绿）</t>
  </si>
  <si>
    <t>1月27日开仓，平仓（6绿）</t>
  </si>
  <si>
    <t>以下开仓根据六脉神剑指标，当出现6红就开仓，出现3绿就平仓，测试下效果，出现开仓信号当天涨停的不参与，当天涨幅超5%不参与，增加一个破5日线平仓</t>
  </si>
  <si>
    <t>2月4日开仓，平仓（3绿）</t>
  </si>
  <si>
    <t>禾元生物-U</t>
  </si>
  <si>
    <t>688765.SH</t>
  </si>
  <si>
    <t>2月26日开仓，平仓（6绿）</t>
  </si>
  <si>
    <t>爱美客</t>
  </si>
  <si>
    <t>300896.SZ</t>
  </si>
  <si>
    <t>3月11日开仓，平仓（3绿）</t>
  </si>
  <si>
    <t>长安汽车</t>
  </si>
  <si>
    <t>000625.SZ</t>
  </si>
  <si>
    <t>3月12日开仓，平仓（4绿））</t>
  </si>
  <si>
    <t>联合动力</t>
  </si>
  <si>
    <t>301656.SZ</t>
  </si>
  <si>
    <t>老白干酒</t>
  </si>
  <si>
    <t>600559.SH</t>
  </si>
  <si>
    <t>3月13日开仓，平仓（5绿）</t>
  </si>
  <si>
    <t>3月16日开仓,平仓（3绿）</t>
  </si>
  <si>
    <t>康泰生物</t>
  </si>
  <si>
    <t>300601.SZ</t>
  </si>
  <si>
    <t>3月17日开仓，平仓（3绿）</t>
  </si>
  <si>
    <t>森麒麟</t>
  </si>
  <si>
    <t>002984.SZ</t>
  </si>
  <si>
    <t>出现信号但是涨幅超过5%放弃</t>
  </si>
  <si>
    <t>威高血净</t>
  </si>
  <si>
    <t>603014.SH</t>
  </si>
  <si>
    <t>3月13日开仓，平仓（4绿）</t>
  </si>
  <si>
    <t>3月30日开仓，跌破5日线平仓</t>
  </si>
  <si>
    <t>航天信息</t>
  </si>
  <si>
    <t>600271.SH</t>
  </si>
  <si>
    <t>4月9日开仓，平仓（4绿）</t>
  </si>
  <si>
    <t>中文传媒</t>
  </si>
  <si>
    <t>600373.SH</t>
  </si>
  <si>
    <t>4月2日开仓，跌破5日线平仓</t>
  </si>
  <si>
    <t>新华网</t>
  </si>
  <si>
    <t>603888.SH</t>
  </si>
  <si>
    <t>3月19日开仓，平仓（5绿）</t>
  </si>
  <si>
    <t>固高科技</t>
  </si>
  <si>
    <t>301510.SZ</t>
  </si>
  <si>
    <t>4月2日开仓，平仓（4绿）</t>
  </si>
  <si>
    <t>中科软</t>
  </si>
  <si>
    <t>603927.SH</t>
  </si>
  <si>
    <t>3月19日开仓，平仓（6绿）</t>
  </si>
  <si>
    <t>康美药业</t>
  </si>
  <si>
    <t>600518.SH</t>
  </si>
  <si>
    <t>4月1日开仓，跌破5日线平仓</t>
  </si>
  <si>
    <t>万达电影</t>
  </si>
  <si>
    <t>002739.SZ</t>
  </si>
  <si>
    <t>3月31日开仓，平仓（3绿）</t>
  </si>
  <si>
    <t>4月9日开仓，平仓（3绿）</t>
  </si>
  <si>
    <t>3月31日开仓，平仓（4绿）</t>
  </si>
  <si>
    <t>泰禾股份</t>
  </si>
  <si>
    <t>301665.SZ</t>
  </si>
  <si>
    <t>4月9日开仓，跌破5日线平仓</t>
  </si>
  <si>
    <t>南  玻Ａ</t>
  </si>
  <si>
    <t>000012.SZ</t>
  </si>
  <si>
    <t>建元信托</t>
  </si>
  <si>
    <t>600816.SH</t>
  </si>
  <si>
    <t>4月2日开仓，平仓（6绿）</t>
  </si>
  <si>
    <t>华兰生物</t>
  </si>
  <si>
    <t>002007.SZ</t>
  </si>
  <si>
    <t>恒坤新材</t>
  </si>
  <si>
    <t>688727.SH</t>
  </si>
  <si>
    <t>4月2日开仓，平仓（5绿）</t>
  </si>
  <si>
    <t>3月31日开仓，破5日线平仓</t>
  </si>
  <si>
    <t>索菲亚</t>
  </si>
  <si>
    <t>002572.SZ</t>
  </si>
  <si>
    <t>4月2日开仓，平仓（3绿）</t>
  </si>
  <si>
    <t>王府井</t>
  </si>
  <si>
    <t>600859.SH</t>
  </si>
  <si>
    <t>汤臣倍健</t>
  </si>
  <si>
    <t>300146.SZ</t>
  </si>
  <si>
    <t>3月31日开仓，平仓（5绿）</t>
  </si>
  <si>
    <t>3月30日开仓，平仓（3绿）</t>
  </si>
  <si>
    <t>欧普康视</t>
  </si>
  <si>
    <t>300595.SZ</t>
  </si>
  <si>
    <t>启明星辰</t>
  </si>
  <si>
    <t>002439.SZ</t>
  </si>
  <si>
    <t>万  科Ａ</t>
  </si>
  <si>
    <t>000002.SZ</t>
  </si>
  <si>
    <t>惠城环保</t>
  </si>
  <si>
    <t>300779.SZ</t>
  </si>
  <si>
    <t>3月31日开仓，跌破5日止损</t>
  </si>
  <si>
    <t>隆基绿能</t>
  </si>
  <si>
    <t>601012.SH</t>
  </si>
  <si>
    <t>4月14日开仓，平仓（4绿）</t>
  </si>
  <si>
    <t>4月22日开仓，平仓（4绿）</t>
  </si>
  <si>
    <t>4月30日开仓，平仓（6绿）</t>
  </si>
  <si>
    <t>5月6日开仓，平仓（4绿）</t>
  </si>
  <si>
    <t>老凤祥</t>
  </si>
  <si>
    <t>600612.SH</t>
  </si>
  <si>
    <t>6月2日开仓，平仓（4绿）</t>
  </si>
  <si>
    <t>5月12日开仓，平仓（3绿）</t>
  </si>
  <si>
    <t>爱玛科技</t>
  </si>
  <si>
    <t>603529.SH</t>
  </si>
  <si>
    <t>5月27日开仓，平仓（4绿）</t>
  </si>
  <si>
    <t>中国中铁</t>
  </si>
  <si>
    <t>601390.SH</t>
  </si>
  <si>
    <t>4月30日开仓，开盘3绿 放弃</t>
  </si>
  <si>
    <t>5月6日开仓，破5日线平仓</t>
  </si>
  <si>
    <t>中国汽研</t>
  </si>
  <si>
    <t>601965.SH</t>
  </si>
  <si>
    <t>5月12日开仓，破5日线平仓</t>
  </si>
  <si>
    <t>东华能源</t>
  </si>
  <si>
    <t>002221.SZ</t>
  </si>
  <si>
    <t>4月30日开仓，5绿平仓，出现6脉神剑的时候从底部到信号出现涨幅超过10%这种的要放弃</t>
  </si>
  <si>
    <t>鱼跃医疗</t>
  </si>
  <si>
    <t>002223.SZ</t>
  </si>
  <si>
    <t>芒果超媒</t>
  </si>
  <si>
    <t>300413.SZ</t>
  </si>
  <si>
    <t>5月11日开仓，破5日线平仓</t>
  </si>
  <si>
    <t>必贝特-U</t>
  </si>
  <si>
    <t>688759.SH</t>
  </si>
  <si>
    <t>5月8日开仓，破5日线平仓</t>
  </si>
  <si>
    <t>5月28日开仓，平仓（3绿）</t>
  </si>
  <si>
    <t>开立医疗</t>
  </si>
  <si>
    <t>300633.SZ</t>
  </si>
  <si>
    <t>5月12日开仓，平仓（6绿）</t>
  </si>
  <si>
    <t>5月15日开仓，平仓（6绿）</t>
  </si>
  <si>
    <t>5月25日开仓，平仓，跌破5日线</t>
  </si>
  <si>
    <t>6月1日开仓，平仓（3绿）</t>
  </si>
  <si>
    <t>5月25日开仓，跌破5日线平仓</t>
  </si>
  <si>
    <t>5月20日开仓，跌破5日线平仓</t>
  </si>
  <si>
    <t>儒意电影</t>
  </si>
  <si>
    <t>5月20日开仓，平仓（3绿）</t>
  </si>
  <si>
    <t>6月1日开仓，跌破5日线</t>
  </si>
  <si>
    <t>居然智家</t>
  </si>
  <si>
    <t>000785.SZ</t>
  </si>
  <si>
    <t>5月29日开仓，跌破5日线</t>
  </si>
  <si>
    <t>宋城演艺</t>
  </si>
  <si>
    <t>300144.SZ</t>
  </si>
  <si>
    <t>6月2日开仓，，跌破5日线</t>
  </si>
  <si>
    <t>七一二</t>
  </si>
  <si>
    <t>603712.SH</t>
  </si>
  <si>
    <t>5月21日开仓，平仓（6绿）</t>
  </si>
  <si>
    <t>沈阳机床</t>
  </si>
  <si>
    <t>000410.SZ</t>
  </si>
  <si>
    <t>人民网</t>
  </si>
  <si>
    <t>603000.SH</t>
  </si>
  <si>
    <t>6月2日开仓，平仓（6绿）</t>
  </si>
  <si>
    <t>影石创新</t>
  </si>
  <si>
    <t>688775.SH</t>
  </si>
  <si>
    <t>石头科技</t>
  </si>
  <si>
    <t>688169.SH</t>
  </si>
  <si>
    <t>6月9日开仓</t>
  </si>
  <si>
    <t>泰格医药</t>
  </si>
  <si>
    <t>300347.SZ</t>
  </si>
  <si>
    <t>德力佳</t>
  </si>
  <si>
    <t>603092.SH</t>
  </si>
  <si>
    <t>神州泰岳</t>
  </si>
  <si>
    <t>300002.SZ</t>
  </si>
  <si>
    <t>30到60</t>
  </si>
  <si>
    <t>跌破88.65止损</t>
  </si>
  <si>
    <t>天华新能</t>
  </si>
  <si>
    <t>300390.SZ</t>
  </si>
  <si>
    <t>跌破22.7止损</t>
  </si>
  <si>
    <t>怡合达</t>
  </si>
  <si>
    <t>301029.SZ</t>
  </si>
  <si>
    <t>跌破25止损</t>
  </si>
  <si>
    <t>跌破24.72止损</t>
  </si>
  <si>
    <t>晶盛机电</t>
  </si>
  <si>
    <t>300316.SZ</t>
  </si>
  <si>
    <t>31.55附近开仓</t>
  </si>
  <si>
    <t>31.1附近开仓</t>
  </si>
  <si>
    <t>药明康德</t>
  </si>
  <si>
    <t>603259.SH</t>
  </si>
  <si>
    <t>50元附近开仓</t>
  </si>
  <si>
    <t>帝尔激光</t>
  </si>
  <si>
    <t>300776.SZ</t>
  </si>
  <si>
    <t>55元附近开仓</t>
  </si>
  <si>
    <t>先导智能</t>
  </si>
  <si>
    <t>300450.SZ</t>
  </si>
  <si>
    <t>17.3附近开仓</t>
  </si>
  <si>
    <t>以下开仓点选在个股出现大阳线（5%），形成日线底分型，或者突破底部小平台，次日在大阳线二分之一的位置购买，如果股票跌破大阳线实体则止损。</t>
  </si>
  <si>
    <t>美凯龙</t>
  </si>
  <si>
    <t>601828.SH</t>
  </si>
  <si>
    <t>20日在2.88附近开仓，跌破2.83止损，止损</t>
  </si>
  <si>
    <t>3元附近开仓，日线顶分型 卖出</t>
  </si>
  <si>
    <t>亿纬锂能</t>
  </si>
  <si>
    <t>300014.SZ</t>
  </si>
  <si>
    <t>23日43附近开仓，跌破41.78止损，没到43</t>
  </si>
  <si>
    <t>7月3日开盘低于2个点购买，止损价2.89，破5日线平仓</t>
  </si>
  <si>
    <t>涨起来了放弃</t>
  </si>
  <si>
    <t>海尔生物</t>
  </si>
  <si>
    <t>688139.SH</t>
  </si>
  <si>
    <t>9月26日买入，止损价32，日线顶分型 平仓</t>
  </si>
  <si>
    <t>9月11日开仓，止损价20.95，止损</t>
  </si>
  <si>
    <t>航天发展</t>
  </si>
  <si>
    <t>000547.SZ</t>
  </si>
  <si>
    <t>中国电影</t>
  </si>
  <si>
    <t>600977.SH</t>
  </si>
  <si>
    <t>12月25日开仓，止损价35.42，日线顶分型平仓</t>
  </si>
  <si>
    <t>明阳智能</t>
  </si>
  <si>
    <t>601615.SH</t>
  </si>
  <si>
    <t>1月13日开仓，止损价18.25，止损</t>
  </si>
  <si>
    <t>11月26日开仓，止损价34.2，止损</t>
  </si>
  <si>
    <t>晶科科技</t>
  </si>
  <si>
    <t>601778.SH</t>
  </si>
  <si>
    <t>1月7日开仓，止损价4，日线顶分型平仓</t>
  </si>
  <si>
    <t>1月6日开仓，止损价17.25，日线顶分型平仓</t>
  </si>
  <si>
    <t>闻泰科技</t>
  </si>
  <si>
    <t>600745.SH</t>
  </si>
  <si>
    <t>1月7日开仓，止损价37.8，日线顶分型 平仓</t>
  </si>
  <si>
    <t>以下开仓根据六脉神剑指标，当出现6红就开仓，出现3绿就平仓，测试下效果，出现开仓信号当天涨停的不参与，跌破5日线平仓</t>
  </si>
  <si>
    <t>东富龙</t>
  </si>
  <si>
    <t>300171.SZ</t>
  </si>
  <si>
    <t>3月19日开仓，开盘3绿放弃</t>
  </si>
  <si>
    <t>电科网安</t>
  </si>
  <si>
    <t>002268.SZ</t>
  </si>
  <si>
    <t>旭升集团</t>
  </si>
  <si>
    <t>603305.SH</t>
  </si>
  <si>
    <t>珠海冠宇</t>
  </si>
  <si>
    <t>688772.SH</t>
  </si>
  <si>
    <t>3月26日开仓，（5绿）平仓</t>
  </si>
  <si>
    <t>4月13日开仓，跌破5日线平仓</t>
  </si>
  <si>
    <t>华阳股份</t>
  </si>
  <si>
    <t>600348.SH</t>
  </si>
  <si>
    <t>3月31日开仓，4绿平仓</t>
  </si>
  <si>
    <t>斯达半导</t>
  </si>
  <si>
    <t>603290.SH</t>
  </si>
  <si>
    <t>5月7日开仓，跌破5日线平仓</t>
  </si>
  <si>
    <t>量比</t>
  </si>
  <si>
    <t>&gt;=1.5</t>
  </si>
  <si>
    <t>底部股票放量，红柱放量</t>
  </si>
  <si>
    <t>涨跌幅</t>
  </si>
  <si>
    <t>&gt;0</t>
  </si>
  <si>
    <t>涨幅大于0保证不是放量流出</t>
  </si>
  <si>
    <t>区间涨停数</t>
  </si>
  <si>
    <t>&gt;=1</t>
  </si>
  <si>
    <t>从2024年10月9日至今有过涨停【没有涨停说明不活跃】</t>
  </si>
  <si>
    <r>
      <rPr>
        <b/>
        <sz val="11"/>
        <rFont val="宋体"/>
        <charset val="0"/>
      </rPr>
      <t>卖出价格</t>
    </r>
    <r>
      <rPr>
        <b/>
        <sz val="11"/>
        <rFont val="Arial"/>
        <charset val="0"/>
      </rPr>
      <t>/</t>
    </r>
    <r>
      <rPr>
        <b/>
        <sz val="11"/>
        <rFont val="宋体"/>
        <charset val="0"/>
      </rPr>
      <t>收盘价</t>
    </r>
  </si>
  <si>
    <t>收盘在昨日涨停50%，13.64处开仓，跌破则放弃</t>
  </si>
  <si>
    <t>8.47附近开仓，跌破8.18止损</t>
  </si>
  <si>
    <t>8.12附近开仓，跌破8.02止损，尾盘形成顶分型卖出</t>
  </si>
  <si>
    <t>13.42附近开仓，跌破13.19止损，止损</t>
  </si>
  <si>
    <t>11.3附近开仓，跌破11.09止损，尾盘形成顶分型卖出</t>
  </si>
  <si>
    <t>2.73附近开仓，跌破2.7止损，开盘跌破2.7放弃</t>
  </si>
  <si>
    <t>下方的股票选出的股票属于低位放量的，次日可以高开不超过2个点直接开仓，止损设置在放量K线实体最低点，如果涨停回踩10日线开仓</t>
  </si>
  <si>
    <t>35.16止损，次日直接开仓，日线顶分型，19日10点平仓</t>
  </si>
  <si>
    <t>13.35止损，次日直接开仓，创新高，跌破15平仓</t>
  </si>
  <si>
    <t>9.37止损，次日直接开仓，日线顶分型，次日逢高卖出</t>
  </si>
  <si>
    <t>2.74止损，次日直接开仓，止损</t>
  </si>
  <si>
    <t>10.12止损，5月14开仓，14日开盘跌破止损价，放弃</t>
  </si>
  <si>
    <t>17.6止损，5月14开仓，止损</t>
  </si>
  <si>
    <t>15.81止损，5月14开仓，14日开盘跌破止损价，放弃</t>
  </si>
  <si>
    <t>2.59止损，5月20日开仓，止损</t>
  </si>
  <si>
    <t>26日开仓，9.44止损，止损</t>
  </si>
  <si>
    <t>6月4日开仓，止损价4.03，止损</t>
  </si>
  <si>
    <t>6月5日开仓，止损价2.6，止损</t>
  </si>
  <si>
    <t>6月5日开仓，止损价4.22，止损</t>
  </si>
  <si>
    <t>6月10日开仓，止损价9.33，止损</t>
  </si>
  <si>
    <t>6月10日开仓，止损价14.52，止损</t>
  </si>
  <si>
    <t>6月16日开仓，止损价6.65，回踩5日线平仓，止盈</t>
  </si>
  <si>
    <t>6月25日开仓，止损26.78，长上影，27日平仓，止盈</t>
  </si>
  <si>
    <t>6月25日开仓，止损30.06，7月2日尾盘没上5日线止损，破5日线止盈</t>
  </si>
  <si>
    <t>6月26日开仓，止损81.8，止损</t>
  </si>
  <si>
    <t>6月30开仓，止损9.56，破5日线止盈</t>
  </si>
  <si>
    <t>6月30开仓，止损28.22，止损</t>
  </si>
  <si>
    <t>7月3日开盘，止损价7.68，破5日线止损</t>
  </si>
  <si>
    <t>回踩5日线开仓，止损价15.61，跌破5日线平仓，止盈</t>
  </si>
  <si>
    <t>7月3日开盘，止损价18.41，跌破涨停K一半，止盈</t>
  </si>
  <si>
    <t>7月16日开盘低于2个点购买，止损价28.46，跌破5日线平仓</t>
  </si>
  <si>
    <t>8月11开盘，止损价6.56，止损</t>
  </si>
  <si>
    <t>8月18日开仓，止损价6.52，日线顶分型平仓</t>
  </si>
  <si>
    <t>8月19日开仓，止损价4.6，止损</t>
  </si>
  <si>
    <t>8月26日开仓，止损价23.17止损</t>
  </si>
  <si>
    <t>9月8日开仓，止损价33.7，止损</t>
  </si>
  <si>
    <t>9月16开仓，止损价7.82，止损</t>
  </si>
  <si>
    <t>10月10日开仓，止损价7.55，平仓，日线顶分型</t>
  </si>
  <si>
    <t>10月13日开仓，止损价6.57，日线顶分型 平仓</t>
  </si>
  <si>
    <t>10月21日开仓，止损价7.32，止损</t>
  </si>
  <si>
    <t>11月11日开仓，止损价70，日线顶分型止损</t>
  </si>
  <si>
    <t>2.97附近开仓，跌2个点止损，日线顶分型平仓</t>
  </si>
  <si>
    <t>12月17日开仓，止损价6.35，日线顶分型平仓</t>
  </si>
  <si>
    <t>人福医药</t>
  </si>
  <si>
    <t>600079.SH</t>
  </si>
  <si>
    <t>12月18日开仓，止损价16.73，日线顶分型平仓</t>
  </si>
  <si>
    <t>川能动力</t>
  </si>
  <si>
    <t>000155.SZ</t>
  </si>
  <si>
    <t>12月18日开仓，止损价11.65，，日线顶分型平仓</t>
  </si>
  <si>
    <t>1月12日开仓，止损价10.65，日线顶分型平仓</t>
  </si>
  <si>
    <t>4月13日开仓，止损价12.03，跌破止损价</t>
  </si>
  <si>
    <t>5月12日开仓，止损价10.31，止损</t>
  </si>
  <si>
    <t>南方传媒</t>
  </si>
  <si>
    <t>601900.SH</t>
  </si>
  <si>
    <t>6月2日开仓，止损价11.79，止损</t>
  </si>
  <si>
    <t>6月4日开仓，止损价38.4，止损</t>
  </si>
  <si>
    <t>&gt;=1.2</t>
  </si>
  <si>
    <t>MACD金叉</t>
  </si>
  <si>
    <t>金叉</t>
  </si>
  <si>
    <t>近5日内有金叉</t>
  </si>
  <si>
    <t>2.68附近开仓，跌破2.6止损，止损</t>
  </si>
  <si>
    <t>10.17附近开仓，跌破9.96止损</t>
  </si>
  <si>
    <t>11.3附近开仓，跌破11.09止损，形成顶分型卖出</t>
  </si>
  <si>
    <t>15元附近开仓，跌破14.61止损</t>
  </si>
  <si>
    <t>6.23附近开仓，跌破6月止损</t>
  </si>
  <si>
    <t>6.88附近开仓，跌破6.56止损，止损</t>
  </si>
  <si>
    <t>下方选出的股票次日可以高开不超过2个点直接开仓，止损设置在放量K线实体最低点</t>
  </si>
  <si>
    <t>27.3止损，次日直接开仓，日线顶分型了16日10点平仓</t>
  </si>
  <si>
    <t>28.86止损，次日直接开仓，止损</t>
  </si>
  <si>
    <t>6月4日开仓，止损价4.03</t>
  </si>
  <si>
    <t>6月25日开仓，止损26.78，日线长上影，27日平仓，止盈</t>
  </si>
  <si>
    <t>6月26日开仓，止损26.78，7月2日尾盘没上5日线止损，破5日止盈</t>
  </si>
  <si>
    <t>7月25日开仓，16.45止损，止损</t>
  </si>
  <si>
    <t>8月26日开仓，止损价16.64，止损</t>
  </si>
  <si>
    <t>8月26日开仓，止损价10.95，止损</t>
  </si>
  <si>
    <t>10月13日开仓，止损价5.29，止损</t>
  </si>
  <si>
    <t>10月13日开仓，止损价6.57，日线顶分型平仓</t>
  </si>
  <si>
    <t>10月28日开仓，止损价18.92，日线顶分型平仓</t>
  </si>
  <si>
    <t>11月4日开仓，止损价4.1日线顶分型平仓</t>
  </si>
  <si>
    <t>12月16日开仓，止损价28.99，止损</t>
  </si>
  <si>
    <t>12月19日开仓，止损价17.81，日线顶分型平仓</t>
  </si>
  <si>
    <t>12月22日开仓，止损价17.71，日线顶分型平仓</t>
  </si>
  <si>
    <t>1月6日开仓，止损价10.38，日线顶分型平仓</t>
  </si>
  <si>
    <t>1月12日开仓，止损价41.07，日线顶分型平仓</t>
  </si>
  <si>
    <t>4月16日开仓，止损价68.28，跌破5日均线平仓</t>
  </si>
  <si>
    <t>国际医学</t>
  </si>
  <si>
    <t>000516.SZ</t>
  </si>
  <si>
    <t>5月20日开仓，止损价4.47，止损</t>
  </si>
  <si>
    <t>6月2日开仓，止损价2.37，止损</t>
  </si>
  <si>
    <t>&lt;100</t>
  </si>
  <si>
    <t>近一年没有翻倍的股票</t>
  </si>
  <si>
    <t>相对位置5</t>
  </si>
  <si>
    <t>&lt;20</t>
  </si>
  <si>
    <t>股票当前处于近5年的历史低位20%以下</t>
  </si>
  <si>
    <t>11.3附近开仓，跌破11.09止损，日线形成顶分型平仓</t>
  </si>
  <si>
    <t>金发科技</t>
  </si>
  <si>
    <t>600143.SH</t>
  </si>
  <si>
    <t>6月25日开仓，止损9.97，破5日线，平仓</t>
  </si>
  <si>
    <t>8月26日开仓，止损价2.98，止损</t>
  </si>
  <si>
    <t>10月15日开仓，止损价13，止损</t>
  </si>
  <si>
    <t>永安期货</t>
  </si>
  <si>
    <t>600927.SH</t>
  </si>
  <si>
    <t>10月29日开仓，止损价14.88，均线死叉止损</t>
  </si>
  <si>
    <t>新宝股份</t>
  </si>
  <si>
    <t>002705.SZ</t>
  </si>
  <si>
    <t>11月11日开仓，止损价15.03，日线顶分型止损</t>
  </si>
  <si>
    <t>苏垦农发</t>
  </si>
  <si>
    <t>601952.SH</t>
  </si>
  <si>
    <t>12月12日开仓，止损价9.15，止损</t>
  </si>
  <si>
    <t>12月24日开仓，止损价37.25，止损</t>
  </si>
  <si>
    <t>3月11日开仓，止损价20，止损</t>
  </si>
  <si>
    <t>太阳能</t>
  </si>
  <si>
    <t>000591.SZ</t>
  </si>
  <si>
    <t>4月22日开仓，止损价5.41，止损</t>
  </si>
  <si>
    <t>相对位置最小值</t>
  </si>
  <si>
    <t>在某一段时间内股票位于低位20%以下</t>
  </si>
  <si>
    <t>中远海发</t>
  </si>
  <si>
    <t>601866.SH</t>
  </si>
  <si>
    <t>7月14日开仓，2.49止损，止损</t>
  </si>
  <si>
    <t>浙富控股</t>
  </si>
  <si>
    <t>002266.SZ</t>
  </si>
  <si>
    <t>9月2日后5日均线附近开仓，跌破5日均线平仓</t>
  </si>
  <si>
    <t>传化智联</t>
  </si>
  <si>
    <t>002010.SZ</t>
  </si>
  <si>
    <t>9月16日开仓，止损价6.14，日线顶分型平仓</t>
  </si>
  <si>
    <t>9月18日开仓，止损价3.91，止损</t>
  </si>
  <si>
    <t>用友网络</t>
  </si>
  <si>
    <t>600588.SH</t>
  </si>
  <si>
    <t>9月26日开仓，止损价14.84，止损</t>
  </si>
  <si>
    <t>国机重装</t>
  </si>
  <si>
    <t>601399.SH</t>
  </si>
  <si>
    <t>10月10日开仓，止损价3.4，止损</t>
  </si>
  <si>
    <t>中铁工业</t>
  </si>
  <si>
    <t>600528.SH</t>
  </si>
  <si>
    <t>10月10日开仓，止损价8.29，日线顶分型平仓</t>
  </si>
  <si>
    <t>10月27日开仓，止损价28.6，日线顶分型平仓</t>
  </si>
  <si>
    <t>际华集团</t>
  </si>
  <si>
    <t>601718.SH</t>
  </si>
  <si>
    <t>11月10日开仓，止损价3.59，日线顶分型平仓</t>
  </si>
  <si>
    <t>中国中冶</t>
  </si>
  <si>
    <t>601618.SH</t>
  </si>
  <si>
    <t>2月26日开仓，止损价3.08，止损</t>
  </si>
  <si>
    <t>东方新能</t>
  </si>
  <si>
    <t>002310.SZ</t>
  </si>
  <si>
    <t>3月2日开仓，止损价2.36，止损</t>
  </si>
  <si>
    <t>中粮资本</t>
  </si>
  <si>
    <t>002423.SZ</t>
  </si>
  <si>
    <t>3月3日开仓，止损价11，止损</t>
  </si>
  <si>
    <t>中国一重</t>
  </si>
  <si>
    <t>601106.SH</t>
  </si>
  <si>
    <t>4月9日开仓，止损价4.24</t>
  </si>
  <si>
    <t>安通控股</t>
  </si>
  <si>
    <t>600179.SH</t>
  </si>
  <si>
    <t>5月19日开仓，止损价4.29，日线顶分型 跌破5日线 平仓</t>
  </si>
  <si>
    <t>一买、二买、双底（双底天数&lt;=10）</t>
  </si>
  <si>
    <t>连续阳线</t>
  </si>
  <si>
    <t>连续3天阳线，可能有资金开始介入</t>
  </si>
  <si>
    <t>近10日内有金叉</t>
  </si>
  <si>
    <t>光明乳业</t>
  </si>
  <si>
    <t>600597.SH</t>
  </si>
  <si>
    <t>8.5附近开仓，跌破8.3止损，止损</t>
  </si>
  <si>
    <t>13.67附近开仓，跌破13.21止损</t>
  </si>
  <si>
    <t>3.08附近开仓，跌破2.99止损，止损</t>
  </si>
  <si>
    <t>下方选出的股票次日可以高开不超过2个点直接开仓，止损设置在3连阳K的实体最低点，如果3连阳涨幅过高止损点可以在60分钟选择支撑位，或者3连阳二分之一位置</t>
  </si>
  <si>
    <t>跌破28.23止损，次日直接开仓，日线顶分型了16日10点平仓</t>
  </si>
  <si>
    <t>跌破27.51止损，次日直接开仓，日线顶分型了16日10点平仓</t>
  </si>
  <si>
    <t>跌破6.43止损，次日直接开仓，日线顶分型，次日逢高卖出</t>
  </si>
  <si>
    <t>6月4日开仓，止损价4.02，止损</t>
  </si>
  <si>
    <t>6月5日开仓，止损价28.84，止损</t>
  </si>
  <si>
    <t>6月25日开仓，止损26.78日线长上影，27日平仓，止盈</t>
  </si>
  <si>
    <t>6月25日开仓，止损13.95，止盈</t>
  </si>
  <si>
    <t>6月26日开仓，止损3.98，破5日线平仓</t>
  </si>
  <si>
    <t>6月26日开仓，止损18.22，止盈</t>
  </si>
  <si>
    <t>6月26日开仓，止损7.17，止盈</t>
  </si>
  <si>
    <t>8月25日开仓，止损8.16，止损</t>
  </si>
  <si>
    <t>益丰药房</t>
  </si>
  <si>
    <t>603939.SH</t>
  </si>
  <si>
    <t>9月5日开仓，止损价24.65，日线顶分型 止损</t>
  </si>
  <si>
    <t>安道麦A</t>
  </si>
  <si>
    <t>000553.SZ</t>
  </si>
  <si>
    <t>9月9日开仓，止损价6.58，止损</t>
  </si>
  <si>
    <t>11月5日开仓，止损价20.54，日线顶分型止损</t>
  </si>
  <si>
    <t>2.97附近开仓，跌2个点止损</t>
  </si>
  <si>
    <t>12月10日开仓，止损价3.13，止损</t>
  </si>
  <si>
    <t>12月19日开仓，止损价6.45，日线底分型平仓</t>
  </si>
  <si>
    <t>ma5交叉ma10</t>
  </si>
  <si>
    <t>连续3天5日均线上穿10日均线</t>
  </si>
  <si>
    <t>ma5交叉ma10天数</t>
  </si>
  <si>
    <t>处于macd红柱之后的状态</t>
  </si>
  <si>
    <t>跌破2.75止损</t>
  </si>
  <si>
    <t>跌破12.04止损</t>
  </si>
  <si>
    <t>明日尾盘价在19元之上开仓，跌破19则止损，止损</t>
  </si>
  <si>
    <t>明日尾盘价在25.5元之上开仓，跌破则放弃，17日跌破25.5放弃</t>
  </si>
  <si>
    <t>跌破18.78止损，19.3附近开仓，止损</t>
  </si>
  <si>
    <t>跌破17.57止损，18.4附近开仓</t>
  </si>
  <si>
    <t>跌破2.96止损，3元附近开仓，止损</t>
  </si>
  <si>
    <t>跌破25止损，25.5附近开仓</t>
  </si>
  <si>
    <t>跌破7.25止损，7.7附近开仓</t>
  </si>
  <si>
    <t>11.3附近开仓，跌破11.09止损，日线顶分型平仓</t>
  </si>
  <si>
    <t>13.7附近开仓，跌破13.26止损</t>
  </si>
  <si>
    <t>6.91附近开仓，跌破6.83止损</t>
  </si>
  <si>
    <t>13.18附近开仓，跌破13.18放弃</t>
  </si>
  <si>
    <t>下方选出的股票次日可以高开不超过2个点直接开仓，止损设置在最近3根K线的实体最低点，如果止损点超过5%，可以在60分钟选择支撑位</t>
  </si>
  <si>
    <t>18.41止损，次日直接开仓，冲高回落，如果未来跌破21.11可以平仓止盈，平仓</t>
  </si>
  <si>
    <t>30.58止损，次日直接开盘，日线顶分型了16日10点平仓</t>
  </si>
  <si>
    <t>9.86止损，次日直接开仓，日线顶分型，15日逢高卖出，止损</t>
  </si>
  <si>
    <t>15.29止损，次日直接开仓，日线顶分型，15日逢高卖出，止损</t>
  </si>
  <si>
    <t>17.6止损，15日开仓，开盘跌破止损价放弃</t>
  </si>
  <si>
    <t>6.6止损，15日开仓，开盘跌破止损价放弃</t>
  </si>
  <si>
    <t>6月30开仓，止损14.15，止盈</t>
  </si>
  <si>
    <t>11月5日开仓，止损价20.54，日线顶分型平仓</t>
  </si>
  <si>
    <t>2月11日开仓，止损价97.59，已止损</t>
  </si>
  <si>
    <t>4月14日开盘，止损价48.5，破5日线平仓</t>
  </si>
  <si>
    <t>&lt;40</t>
  </si>
  <si>
    <t>在某一段时间内股票位于低位40%以下</t>
  </si>
  <si>
    <t>当日涨幅前10概念</t>
  </si>
  <si>
    <t>不为空</t>
  </si>
  <si>
    <t>三买股票所属概念有涨幅排名前10的</t>
  </si>
  <si>
    <t>北汽蓝谷</t>
  </si>
  <si>
    <t>600733.SH</t>
  </si>
  <si>
    <t>跌破8.24止损</t>
  </si>
  <si>
    <t>山子高科</t>
  </si>
  <si>
    <t>000981.SZ</t>
  </si>
  <si>
    <t>跌破2.17止损</t>
  </si>
  <si>
    <t>上海建工</t>
  </si>
  <si>
    <t>600170.SH</t>
  </si>
  <si>
    <t>跌破2.51止损</t>
  </si>
  <si>
    <t>华勤技术</t>
  </si>
  <si>
    <t>603296.SH</t>
  </si>
  <si>
    <t>跌破55.5止损，62元附近开仓，日线顶分型平仓</t>
  </si>
  <si>
    <t>电科数字</t>
  </si>
  <si>
    <t>600850.SH</t>
  </si>
  <si>
    <t>跌破22.97止损，23.48附近开仓，日线顶分型，60分钟macd死叉尾盘卖出</t>
  </si>
  <si>
    <t>中鼎股份</t>
  </si>
  <si>
    <t>000887.SZ</t>
  </si>
  <si>
    <t>16.64附近开仓，跌破15.7止损，日线顶分型平仓</t>
  </si>
  <si>
    <t>云天励飞-U</t>
  </si>
  <si>
    <t>688343.SH</t>
  </si>
  <si>
    <t>53.92附近开仓，跌破50.75止损，日线顶分型，60分钟macd死叉尾盘卖出</t>
  </si>
  <si>
    <t>下方选出的股票次日可以高开不超过2个点直接开仓，止损设置在最近3根K线的实体最低点，如果止损点超过5%，可以在60分钟选择支撑位，或者3根K线的二分之一处</t>
  </si>
  <si>
    <t>跌破64.78止损，次日直接开仓，高开超过2个点放弃</t>
  </si>
  <si>
    <t>百润股份</t>
  </si>
  <si>
    <t>002568.SZ</t>
  </si>
  <si>
    <t>跌破25.49止损，次日直接开仓，止损</t>
  </si>
  <si>
    <t>跌破1.95止损，次日直接开仓，止损</t>
  </si>
  <si>
    <t>万向钱潮</t>
  </si>
  <si>
    <t>000559.SZ</t>
  </si>
  <si>
    <t>7月2日开仓，跌破7.17止损，跌破5日线平仓，止盈</t>
  </si>
  <si>
    <t>火炬电子</t>
  </si>
  <si>
    <t>603678.SH</t>
  </si>
  <si>
    <t>7月2日开仓，跌破36.86止损，止损</t>
  </si>
  <si>
    <t>7月2日开仓，跌破5.44止损，破5日线趋势向下，平仓</t>
  </si>
  <si>
    <t>7月7日开仓，跌破15止损，跌破16止盈，跌破19卖出，止盈</t>
  </si>
  <si>
    <t>海格通信</t>
  </si>
  <si>
    <t>002465.SZ</t>
  </si>
  <si>
    <t>7月29日开仓，12.77止损，跌破5日线，平仓</t>
  </si>
  <si>
    <t>8月13日开仓，25.26止损，尾盘跌破5日均线平仓</t>
  </si>
  <si>
    <t>越秀资本</t>
  </si>
  <si>
    <t>000987.SZ</t>
  </si>
  <si>
    <t>8月15日开仓，7.48止损，27日尾盘跌破5日平仓，平仓</t>
  </si>
  <si>
    <t>8月15日开仓，15.2止损，27日尾盘跌破5日平仓，平仓</t>
  </si>
  <si>
    <t>新安股份</t>
  </si>
  <si>
    <t>600596.SH</t>
  </si>
  <si>
    <t>8月27日开仓，10.63止损，次日没上10.63平仓，平仓</t>
  </si>
  <si>
    <t>联泓新科</t>
  </si>
  <si>
    <t>003022.SZ</t>
  </si>
  <si>
    <t>9月10日开仓，19.48止损，日线顶分型平仓</t>
  </si>
  <si>
    <t>海南矿业</t>
  </si>
  <si>
    <t>601969.SH</t>
  </si>
  <si>
    <t>9月15日开仓，8.42止损</t>
  </si>
  <si>
    <t>9月15日开仓，12止损，止损</t>
  </si>
  <si>
    <t>许继电气</t>
  </si>
  <si>
    <t>000400.SZ</t>
  </si>
  <si>
    <t>9月17日开仓，23.23止损，多日破5日线平仓</t>
  </si>
  <si>
    <t>航锦科技</t>
  </si>
  <si>
    <t>000818.SZ</t>
  </si>
  <si>
    <t>9月19日开仓，止损价23.33，止损</t>
  </si>
  <si>
    <t>中孚实业</t>
  </si>
  <si>
    <t>600595.SH</t>
  </si>
  <si>
    <t>10月14日开仓，止损价5.07，日线顶分型跌破5日均线平仓</t>
  </si>
  <si>
    <t>10月14日开仓，止损价28.8，止损</t>
  </si>
  <si>
    <t>乐普医疗</t>
  </si>
  <si>
    <t>300003.SZ</t>
  </si>
  <si>
    <t>10月21日开仓，止损价17.2，止损</t>
  </si>
  <si>
    <t>翰宇药业</t>
  </si>
  <si>
    <t>300199.SZ</t>
  </si>
  <si>
    <t>10月23日开仓，止损价21，止损</t>
  </si>
  <si>
    <t>众生药业</t>
  </si>
  <si>
    <t>002317.SZ</t>
  </si>
  <si>
    <t>10月23日开仓，止损价18，止损</t>
  </si>
  <si>
    <t>璞泰来</t>
  </si>
  <si>
    <t>603659.SH</t>
  </si>
  <si>
    <t>10月30开仓，止损价26.85，日线顶分型止损</t>
  </si>
  <si>
    <t>航天机电</t>
  </si>
  <si>
    <t>600151.SH</t>
  </si>
  <si>
    <t>10月30开仓，止损价7.88 日线顶分型平仓</t>
  </si>
  <si>
    <t>天通股份</t>
  </si>
  <si>
    <t>600330.SH</t>
  </si>
  <si>
    <t>10月31日开仓，止损10，止损</t>
  </si>
  <si>
    <t>吉视传媒</t>
  </si>
  <si>
    <t>601929.SH</t>
  </si>
  <si>
    <t>11月4日开仓，止损价3.71，日线顶分型平仓</t>
  </si>
  <si>
    <t>11月10日开仓，止损价4.2 日线顶分型平仓</t>
  </si>
  <si>
    <t>钛能化学</t>
  </si>
  <si>
    <t>002145.SZ</t>
  </si>
  <si>
    <t>11月14日开仓，止损价5.43，止损</t>
  </si>
  <si>
    <t>12月4日开仓，止损价17.74，日线顶分型平仓</t>
  </si>
  <si>
    <t>烽火通信</t>
  </si>
  <si>
    <t>600498.SH</t>
  </si>
  <si>
    <t>12月5日开仓，止损价10.47，日线顶分型 平仓</t>
  </si>
  <si>
    <t>12月5日开仓，止损价3.13，止损</t>
  </si>
  <si>
    <t>山河智能</t>
  </si>
  <si>
    <t>002097.SZ</t>
  </si>
  <si>
    <t>12月5日开仓，止损价11.68，止损</t>
  </si>
  <si>
    <t>大博医疗</t>
  </si>
  <si>
    <t>002901.SZ</t>
  </si>
  <si>
    <t>12月8日开仓，止损价46.94，止损</t>
  </si>
  <si>
    <t>海南机场</t>
  </si>
  <si>
    <t>600515.SH</t>
  </si>
  <si>
    <t>12月9日开仓，止损价4.65，止损</t>
  </si>
  <si>
    <t>12月24日开仓，止损价33.78，日线顶分型平仓</t>
  </si>
  <si>
    <t>12月29日开仓，止损价5.23，止损</t>
  </si>
  <si>
    <t>12月29日开仓，止损价9.86，止损</t>
  </si>
  <si>
    <t>12月29日开仓，止损价4.92，止损</t>
  </si>
  <si>
    <t>同方股份</t>
  </si>
  <si>
    <t>600100.SH</t>
  </si>
  <si>
    <t>1月5日开仓，止损价8.73，顶分型平仓</t>
  </si>
  <si>
    <t>先导基电</t>
  </si>
  <si>
    <t>600641.SH</t>
  </si>
  <si>
    <t>2月26日开仓，止损价19，止损</t>
  </si>
  <si>
    <t>3月3日开仓，止损价3.14，止损</t>
  </si>
  <si>
    <t>四维图新</t>
  </si>
  <si>
    <t>002405.SZ</t>
  </si>
  <si>
    <t>3月17日开仓，止损价10.7，止损</t>
  </si>
  <si>
    <t>3月18日开仓，止损价18.3，日线顶分型平仓</t>
  </si>
  <si>
    <t>5月18日开仓，止损价5.83，止损</t>
  </si>
  <si>
    <t>放量</t>
  </si>
  <si>
    <t>&lt;70</t>
  </si>
  <si>
    <t>到第一支撑位的距离（涨幅）</t>
  </si>
  <si>
    <t>&lt;=0.02</t>
  </si>
  <si>
    <t>股价回到支撑位置</t>
  </si>
  <si>
    <t>中枢状态</t>
  </si>
  <si>
    <t>下</t>
  </si>
  <si>
    <t>股票处于中枢下沿</t>
  </si>
  <si>
    <t>跌破3.55止损</t>
  </si>
  <si>
    <t>下方的股票选出的股票属于低位放量的，次日可以高开不超过2个点直接开仓，止损设置在放量K线实体最低点</t>
  </si>
  <si>
    <t>新宙邦</t>
  </si>
  <si>
    <t>300037.SZ</t>
  </si>
  <si>
    <t>6月9日开盘购买，止损价30.94，破5日线止盈，下周逢高卖出</t>
  </si>
  <si>
    <t>12月17日开仓，止损价21.28，日线顶分型平仓</t>
  </si>
  <si>
    <t>双底天数</t>
  </si>
  <si>
    <t>&lt;=10</t>
  </si>
  <si>
    <t>刚形成双底没多久</t>
  </si>
  <si>
    <t>序列低9后第n天</t>
  </si>
  <si>
    <t>神奇九转到9以后持续10天以内</t>
  </si>
  <si>
    <t>股票到了买点支撑位，而且九转下跌到头了，然后放量，说明开始启动了</t>
  </si>
  <si>
    <t>中国电建</t>
  </si>
  <si>
    <t>601669.SH</t>
  </si>
  <si>
    <t>9月15日开仓，5.62止损，止损</t>
  </si>
  <si>
    <t>中国天楹</t>
  </si>
  <si>
    <t>000035.SZ</t>
  </si>
  <si>
    <t>12月5日开仓，止损价5.46，止盈</t>
  </si>
  <si>
    <t>常山北明</t>
  </si>
  <si>
    <t>000158.SZ</t>
  </si>
  <si>
    <t>5月26日开仓，止损价15.3，止损</t>
  </si>
  <si>
    <t>广联达</t>
  </si>
  <si>
    <t>002410.SZ</t>
  </si>
  <si>
    <t>6月1日开仓，止损价9.86，止损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</si>
</sst>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0"/>
    </font>
    <font>
      <b/>
      <sz val="11"/>
      <name val="宋体"/>
      <charset val="0"/>
      <scheme val="major"/>
    </font>
    <font>
      <sz val="11"/>
      <name val="宋体"/>
      <charset val="0"/>
    </font>
    <font>
      <sz val="11"/>
      <name val="Arial"/>
      <charset val="0"/>
    </font>
    <font>
      <strike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trike/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trike/>
      <sz val="11"/>
      <name val="宋体"/>
      <charset val="0"/>
    </font>
    <font>
      <sz val="11"/>
      <name val="宋体"/>
      <charset val="0"/>
      <scheme val="major"/>
    </font>
    <font>
      <sz val="11"/>
      <color theme="1"/>
      <name val="宋体"/>
      <charset val="134"/>
      <scheme val="major"/>
    </font>
    <font>
      <strike/>
      <sz val="11"/>
      <name val="宋体"/>
      <charset val="0"/>
      <scheme val="major"/>
    </font>
    <font>
      <strike/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Arial"/>
      <charset val="0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9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76" fontId="2" fillId="2" borderId="1" xfId="0" applyNumberFormat="1" applyFont="1" applyFill="1" applyBorder="1" applyAlignment="1" applyProtection="1">
      <alignment horizontal="center" vertical="center" wrapText="1"/>
    </xf>
    <xf numFmtId="176" fontId="3" fillId="2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/>
    <xf numFmtId="0" fontId="5" fillId="0" borderId="1" xfId="0" applyFont="1" applyFill="1" applyBorder="1" applyAlignment="1" applyProtection="1"/>
    <xf numFmtId="0" fontId="0" fillId="0" borderId="1" xfId="0" applyFont="1" applyBorder="1">
      <alignment vertical="center"/>
    </xf>
    <xf numFmtId="0" fontId="0" fillId="3" borderId="1" xfId="0" applyFill="1" applyBorder="1" applyAlignment="1">
      <alignment horizontal="left" vertical="center"/>
    </xf>
    <xf numFmtId="176" fontId="2" fillId="3" borderId="1" xfId="0" applyNumberFormat="1" applyFont="1" applyFill="1" applyBorder="1" applyAlignment="1" applyProtection="1">
      <alignment horizontal="center" vertical="center" wrapText="1"/>
    </xf>
    <xf numFmtId="176" fontId="3" fillId="3" borderId="1" xfId="0" applyNumberFormat="1" applyFont="1" applyFill="1" applyBorder="1" applyAlignment="1" applyProtection="1">
      <alignment horizontal="center" vertical="center" wrapText="1"/>
    </xf>
    <xf numFmtId="0" fontId="0" fillId="3" borderId="1" xfId="0" applyFont="1" applyFill="1" applyBorder="1" applyAlignment="1"/>
    <xf numFmtId="31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10" fontId="0" fillId="3" borderId="1" xfId="0" applyNumberFormat="1" applyFill="1" applyBorder="1">
      <alignment vertical="center"/>
    </xf>
    <xf numFmtId="0" fontId="0" fillId="4" borderId="0" xfId="0" applyFill="1" applyAlignment="1">
      <alignment horizontal="left" vertical="center"/>
    </xf>
    <xf numFmtId="0" fontId="4" fillId="3" borderId="1" xfId="0" applyFont="1" applyFill="1" applyBorder="1" applyAlignment="1" applyProtection="1"/>
    <xf numFmtId="0" fontId="5" fillId="3" borderId="1" xfId="0" applyFont="1" applyFill="1" applyBorder="1" applyAlignment="1" applyProtection="1"/>
    <xf numFmtId="31" fontId="0" fillId="3" borderId="1" xfId="0" applyNumberFormat="1" applyFont="1" applyFill="1" applyBorder="1">
      <alignment vertical="center"/>
    </xf>
    <xf numFmtId="0" fontId="0" fillId="3" borderId="1" xfId="0" applyFont="1" applyFill="1" applyBorder="1">
      <alignment vertical="center"/>
    </xf>
    <xf numFmtId="10" fontId="0" fillId="3" borderId="1" xfId="0" applyNumberFormat="1" applyFont="1" applyFill="1" applyBorder="1">
      <alignment vertical="center"/>
    </xf>
    <xf numFmtId="0" fontId="0" fillId="4" borderId="1" xfId="0" applyFill="1" applyBorder="1" applyAlignment="1">
      <alignment horizontal="left" vertical="center"/>
    </xf>
    <xf numFmtId="0" fontId="6" fillId="0" borderId="0" xfId="0" applyFont="1">
      <alignment vertical="center"/>
    </xf>
    <xf numFmtId="0" fontId="6" fillId="0" borderId="1" xfId="0" applyFont="1" applyFill="1" applyBorder="1" applyAlignment="1"/>
    <xf numFmtId="0" fontId="6" fillId="0" borderId="1" xfId="0" applyFont="1" applyBorder="1">
      <alignment vertical="center"/>
    </xf>
    <xf numFmtId="0" fontId="0" fillId="0" borderId="1" xfId="0" applyFont="1" applyFill="1" applyBorder="1" applyAlignment="1"/>
    <xf numFmtId="31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0" borderId="0" xfId="0" applyFont="1" applyFill="1" applyAlignment="1"/>
    <xf numFmtId="31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10" fontId="0" fillId="0" borderId="1" xfId="0" applyNumberFormat="1" applyFill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10" fontId="7" fillId="3" borderId="1" xfId="0" applyNumberFormat="1" applyFont="1" applyFill="1" applyBorder="1">
      <alignment vertical="center"/>
    </xf>
    <xf numFmtId="0" fontId="7" fillId="3" borderId="1" xfId="0" applyFont="1" applyFill="1" applyBorder="1" applyAlignment="1"/>
    <xf numFmtId="31" fontId="7" fillId="3" borderId="1" xfId="0" applyNumberFormat="1" applyFont="1" applyFill="1" applyBorder="1">
      <alignment vertical="center"/>
    </xf>
    <xf numFmtId="0" fontId="7" fillId="3" borderId="1" xfId="0" applyFont="1" applyFill="1" applyBorder="1">
      <alignment vertical="center"/>
    </xf>
    <xf numFmtId="31" fontId="0" fillId="0" borderId="1" xfId="0" applyNumberFormat="1" applyFont="1" applyBorder="1">
      <alignment vertical="center"/>
    </xf>
    <xf numFmtId="0" fontId="8" fillId="0" borderId="1" xfId="0" applyFont="1" applyFill="1" applyBorder="1" applyAlignment="1"/>
    <xf numFmtId="0" fontId="0" fillId="0" borderId="0" xfId="0" applyFill="1" applyAlignment="1">
      <alignment horizontal="left" vertical="center"/>
    </xf>
    <xf numFmtId="31" fontId="6" fillId="0" borderId="1" xfId="0" applyNumberFormat="1" applyFont="1" applyBorder="1">
      <alignment vertical="center"/>
    </xf>
    <xf numFmtId="0" fontId="9" fillId="5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 applyProtection="1"/>
    <xf numFmtId="31" fontId="10" fillId="3" borderId="1" xfId="0" applyNumberFormat="1" applyFont="1" applyFill="1" applyBorder="1">
      <alignment vertical="center"/>
    </xf>
    <xf numFmtId="0" fontId="10" fillId="3" borderId="1" xfId="0" applyFont="1" applyFill="1" applyBorder="1">
      <alignment vertical="center"/>
    </xf>
    <xf numFmtId="10" fontId="10" fillId="3" borderId="1" xfId="0" applyNumberFormat="1" applyFont="1" applyFill="1" applyBorder="1">
      <alignment vertical="center"/>
    </xf>
    <xf numFmtId="0" fontId="11" fillId="0" borderId="1" xfId="0" applyFont="1" applyFill="1" applyBorder="1" applyAlignment="1" applyProtection="1"/>
    <xf numFmtId="0" fontId="8" fillId="0" borderId="1" xfId="0" applyFont="1" applyBorder="1">
      <alignment vertical="center"/>
    </xf>
    <xf numFmtId="176" fontId="12" fillId="3" borderId="1" xfId="0" applyNumberFormat="1" applyFont="1" applyFill="1" applyBorder="1" applyAlignment="1" applyProtection="1"/>
    <xf numFmtId="31" fontId="13" fillId="3" borderId="1" xfId="0" applyNumberFormat="1" applyFont="1" applyFill="1" applyBorder="1">
      <alignment vertical="center"/>
    </xf>
    <xf numFmtId="0" fontId="13" fillId="3" borderId="1" xfId="0" applyFont="1" applyFill="1" applyBorder="1">
      <alignment vertical="center"/>
    </xf>
    <xf numFmtId="10" fontId="13" fillId="3" borderId="1" xfId="0" applyNumberFormat="1" applyFont="1" applyFill="1" applyBorder="1">
      <alignment vertical="center"/>
    </xf>
    <xf numFmtId="0" fontId="12" fillId="3" borderId="1" xfId="0" applyFont="1" applyFill="1" applyBorder="1" applyAlignment="1" applyProtection="1"/>
    <xf numFmtId="0" fontId="14" fillId="0" borderId="1" xfId="0" applyFont="1" applyFill="1" applyBorder="1" applyAlignment="1" applyProtection="1"/>
    <xf numFmtId="0" fontId="15" fillId="0" borderId="1" xfId="0" applyFont="1" applyBorder="1">
      <alignment vertical="center"/>
    </xf>
    <xf numFmtId="10" fontId="13" fillId="0" borderId="1" xfId="0" applyNumberFormat="1" applyFont="1" applyFill="1" applyBorder="1">
      <alignment vertical="center"/>
    </xf>
    <xf numFmtId="0" fontId="12" fillId="0" borderId="1" xfId="0" applyFont="1" applyFill="1" applyBorder="1" applyAlignment="1" applyProtection="1"/>
    <xf numFmtId="0" fontId="13" fillId="0" borderId="1" xfId="0" applyFont="1" applyBorder="1">
      <alignment vertical="center"/>
    </xf>
    <xf numFmtId="0" fontId="13" fillId="3" borderId="1" xfId="0" applyFont="1" applyFill="1" applyBorder="1" applyAlignment="1">
      <alignment vertical="center" wrapText="1"/>
    </xf>
    <xf numFmtId="31" fontId="13" fillId="0" borderId="1" xfId="0" applyNumberFormat="1" applyFont="1" applyBorder="1">
      <alignment vertical="center"/>
    </xf>
    <xf numFmtId="10" fontId="13" fillId="0" borderId="1" xfId="0" applyNumberFormat="1" applyFont="1" applyBorder="1">
      <alignment vertical="center"/>
    </xf>
    <xf numFmtId="0" fontId="6" fillId="3" borderId="1" xfId="0" applyFont="1" applyFill="1" applyBorder="1" applyAlignment="1"/>
    <xf numFmtId="0" fontId="6" fillId="3" borderId="1" xfId="0" applyFont="1" applyFill="1" applyBorder="1">
      <alignment vertical="center"/>
    </xf>
    <xf numFmtId="10" fontId="6" fillId="3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31"/>
  <sheetViews>
    <sheetView tabSelected="1" topLeftCell="A190" workbookViewId="0">
      <selection activeCell="C221" sqref="C221"/>
    </sheetView>
  </sheetViews>
  <sheetFormatPr defaultColWidth="9" defaultRowHeight="13.5"/>
  <cols>
    <col min="1" max="1" width="17.5" customWidth="1"/>
    <col min="2" max="2" width="22.25" customWidth="1"/>
    <col min="3" max="3" width="20.125" customWidth="1"/>
    <col min="4" max="4" width="20.75" customWidth="1"/>
    <col min="5" max="5" width="16" customWidth="1"/>
    <col min="6" max="6" width="16.125" customWidth="1"/>
    <col min="7" max="7" width="11.625" customWidth="1"/>
    <col min="9" max="9" width="73.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2" t="s">
        <v>2</v>
      </c>
      <c r="B3" s="2"/>
      <c r="C3" s="2"/>
      <c r="D3" s="2"/>
      <c r="E3" s="2"/>
      <c r="F3" s="2"/>
      <c r="G3" s="2"/>
    </row>
    <row r="5" spans="1:9">
      <c r="A5" s="1" t="s">
        <v>3</v>
      </c>
      <c r="B5" s="1" t="s">
        <v>4</v>
      </c>
      <c r="C5" s="1"/>
      <c r="D5" s="1" t="s">
        <v>5</v>
      </c>
      <c r="E5" s="1"/>
      <c r="F5" s="1"/>
      <c r="G5" s="1"/>
    </row>
    <row r="6" spans="1:9">
      <c r="A6" s="3" t="s">
        <v>6</v>
      </c>
      <c r="B6" s="39" t="s">
        <v>7</v>
      </c>
      <c r="C6" s="39"/>
      <c r="D6" s="3" t="s">
        <v>8</v>
      </c>
      <c r="E6" s="3"/>
      <c r="F6" s="3"/>
      <c r="G6" s="3"/>
    </row>
    <row r="7" spans="1:9">
      <c r="A7" s="3" t="s">
        <v>9</v>
      </c>
      <c r="B7" s="3" t="s">
        <v>7</v>
      </c>
      <c r="C7" s="3"/>
      <c r="D7" s="3" t="s">
        <v>10</v>
      </c>
      <c r="E7" s="3"/>
      <c r="F7" s="3"/>
      <c r="G7" s="3"/>
    </row>
    <row r="8" spans="1:9">
      <c r="A8" s="3" t="s">
        <v>11</v>
      </c>
      <c r="B8" s="2" t="s">
        <v>12</v>
      </c>
      <c r="C8" s="2"/>
      <c r="D8" s="3" t="s">
        <v>13</v>
      </c>
      <c r="E8" s="3"/>
      <c r="F8" s="3"/>
      <c r="G8" s="3"/>
    </row>
    <row r="9" spans="1:9">
      <c r="A9" s="3" t="s">
        <v>14</v>
      </c>
      <c r="B9" s="3" t="s">
        <v>7</v>
      </c>
      <c r="C9" s="3"/>
      <c r="D9" s="3" t="s">
        <v>15</v>
      </c>
      <c r="E9" s="3"/>
      <c r="F9" s="3"/>
      <c r="G9" s="3"/>
    </row>
    <row r="10" ht="47" customHeight="1" spans="1:9">
      <c r="A10" s="3" t="s">
        <v>16</v>
      </c>
      <c r="B10" s="2" t="s">
        <v>17</v>
      </c>
      <c r="C10" s="2"/>
      <c r="D10" s="3" t="s">
        <v>18</v>
      </c>
      <c r="E10" s="3"/>
      <c r="F10" s="3"/>
      <c r="G10" s="3"/>
    </row>
    <row r="12" spans="1:9">
      <c r="A12" s="10" t="s">
        <v>19</v>
      </c>
      <c r="B12" s="10" t="s">
        <v>20</v>
      </c>
      <c r="C12" s="10" t="s">
        <v>21</v>
      </c>
      <c r="D12" s="10" t="s">
        <v>22</v>
      </c>
      <c r="E12" s="10" t="s">
        <v>23</v>
      </c>
      <c r="F12" s="10" t="s">
        <v>24</v>
      </c>
      <c r="G12" s="10" t="s">
        <v>25</v>
      </c>
      <c r="H12" s="10" t="s">
        <v>26</v>
      </c>
      <c r="I12" s="10" t="s">
        <v>27</v>
      </c>
    </row>
    <row r="13" spans="1:9">
      <c r="A13" s="55" t="s">
        <v>28</v>
      </c>
      <c r="B13" s="55" t="s">
        <v>29</v>
      </c>
      <c r="C13" s="56">
        <v>45733</v>
      </c>
      <c r="D13" s="57">
        <v>21.3</v>
      </c>
      <c r="E13" s="56">
        <v>45735</v>
      </c>
      <c r="F13" s="57">
        <v>21.1</v>
      </c>
      <c r="G13" s="58">
        <f t="shared" ref="G13:G22" si="0">F13/D13-1</f>
        <v>-0.00938967136150226</v>
      </c>
      <c r="H13" s="57" t="s">
        <v>30</v>
      </c>
      <c r="I13" s="57" t="s">
        <v>31</v>
      </c>
    </row>
    <row r="14" spans="1:9">
      <c r="A14" s="59" t="s">
        <v>32</v>
      </c>
      <c r="B14" s="59" t="s">
        <v>33</v>
      </c>
      <c r="C14" s="56">
        <v>45736</v>
      </c>
      <c r="D14" s="57">
        <v>35.23</v>
      </c>
      <c r="E14" s="56">
        <v>45740</v>
      </c>
      <c r="F14" s="57">
        <v>34.3</v>
      </c>
      <c r="G14" s="58">
        <f t="shared" si="0"/>
        <v>-0.0263979562872552</v>
      </c>
      <c r="H14" s="57" t="s">
        <v>30</v>
      </c>
      <c r="I14" s="57" t="s">
        <v>34</v>
      </c>
    </row>
    <row r="15" spans="1:9">
      <c r="A15" s="59" t="s">
        <v>35</v>
      </c>
      <c r="B15" s="59" t="s">
        <v>36</v>
      </c>
      <c r="C15" s="56">
        <v>45737</v>
      </c>
      <c r="D15" s="57">
        <v>13.45</v>
      </c>
      <c r="E15" s="56">
        <v>45747</v>
      </c>
      <c r="F15" s="57">
        <v>12.7</v>
      </c>
      <c r="G15" s="58">
        <f t="shared" si="0"/>
        <v>-0.0557620817843866</v>
      </c>
      <c r="H15" s="57" t="s">
        <v>30</v>
      </c>
      <c r="I15" s="57" t="s">
        <v>37</v>
      </c>
    </row>
    <row r="16" spans="1:9">
      <c r="A16" s="59" t="s">
        <v>38</v>
      </c>
      <c r="B16" s="59" t="s">
        <v>39</v>
      </c>
      <c r="C16" s="56">
        <v>45740</v>
      </c>
      <c r="D16" s="57">
        <v>31.38</v>
      </c>
      <c r="E16" s="56">
        <v>45754</v>
      </c>
      <c r="F16" s="57">
        <v>28</v>
      </c>
      <c r="G16" s="58">
        <f t="shared" si="0"/>
        <v>-0.107711918419375</v>
      </c>
      <c r="H16" s="57" t="s">
        <v>30</v>
      </c>
      <c r="I16" s="57" t="s">
        <v>40</v>
      </c>
    </row>
    <row r="17" spans="1:9">
      <c r="A17" s="59" t="s">
        <v>28</v>
      </c>
      <c r="B17" s="59" t="s">
        <v>29</v>
      </c>
      <c r="C17" s="56">
        <v>45741</v>
      </c>
      <c r="D17" s="57">
        <v>20.1</v>
      </c>
      <c r="E17" s="56">
        <v>45747</v>
      </c>
      <c r="F17" s="57">
        <v>19.87</v>
      </c>
      <c r="G17" s="58">
        <f t="shared" si="0"/>
        <v>-0.0114427860696518</v>
      </c>
      <c r="H17" s="57" t="s">
        <v>30</v>
      </c>
      <c r="I17" s="57" t="s">
        <v>41</v>
      </c>
    </row>
    <row r="18" spans="1:9">
      <c r="A18" s="59" t="s">
        <v>42</v>
      </c>
      <c r="B18" s="59" t="s">
        <v>43</v>
      </c>
      <c r="C18" s="56">
        <v>45742</v>
      </c>
      <c r="D18" s="57">
        <v>85.55</v>
      </c>
      <c r="E18" s="56">
        <v>45743</v>
      </c>
      <c r="F18" s="57">
        <v>84</v>
      </c>
      <c r="G18" s="58">
        <f t="shared" si="0"/>
        <v>-0.0181180596142606</v>
      </c>
      <c r="H18" s="57" t="s">
        <v>30</v>
      </c>
      <c r="I18" s="57" t="s">
        <v>44</v>
      </c>
    </row>
    <row r="19" spans="1:9">
      <c r="A19" s="59" t="s">
        <v>45</v>
      </c>
      <c r="B19" s="59" t="s">
        <v>46</v>
      </c>
      <c r="C19" s="56">
        <v>45744</v>
      </c>
      <c r="D19" s="57">
        <v>7.1</v>
      </c>
      <c r="E19" s="56">
        <v>45754</v>
      </c>
      <c r="F19" s="57">
        <v>6.54</v>
      </c>
      <c r="G19" s="58">
        <f t="shared" si="0"/>
        <v>-0.0788732394366196</v>
      </c>
      <c r="H19" s="57" t="s">
        <v>47</v>
      </c>
      <c r="I19" s="57" t="s">
        <v>48</v>
      </c>
    </row>
    <row r="20" spans="1:9">
      <c r="A20" s="59" t="s">
        <v>32</v>
      </c>
      <c r="B20" s="59" t="s">
        <v>33</v>
      </c>
      <c r="C20" s="56">
        <v>45747</v>
      </c>
      <c r="D20" s="57">
        <v>33.66</v>
      </c>
      <c r="E20" s="56">
        <v>45750</v>
      </c>
      <c r="F20" s="57">
        <v>33</v>
      </c>
      <c r="G20" s="58">
        <f t="shared" si="0"/>
        <v>-0.0196078431372548</v>
      </c>
      <c r="H20" s="57" t="s">
        <v>30</v>
      </c>
      <c r="I20" s="57" t="s">
        <v>49</v>
      </c>
    </row>
    <row r="21" spans="1:9">
      <c r="A21" s="59" t="s">
        <v>42</v>
      </c>
      <c r="B21" s="59" t="s">
        <v>43</v>
      </c>
      <c r="C21" s="56">
        <v>45749</v>
      </c>
      <c r="D21" s="57">
        <v>82.5</v>
      </c>
      <c r="E21" s="56">
        <v>45750</v>
      </c>
      <c r="F21" s="57">
        <v>77.81</v>
      </c>
      <c r="G21" s="58">
        <f t="shared" si="0"/>
        <v>-0.0568484848484848</v>
      </c>
      <c r="H21" s="57" t="s">
        <v>30</v>
      </c>
      <c r="I21" s="57" t="s">
        <v>50</v>
      </c>
    </row>
    <row r="22" spans="1:9">
      <c r="A22" s="59" t="s">
        <v>35</v>
      </c>
      <c r="B22" s="59" t="s">
        <v>36</v>
      </c>
      <c r="C22" s="56">
        <v>45750</v>
      </c>
      <c r="D22" s="57">
        <v>12.71</v>
      </c>
      <c r="E22" s="56">
        <v>45750</v>
      </c>
      <c r="F22" s="57">
        <v>12.18</v>
      </c>
      <c r="G22" s="58">
        <f t="shared" si="0"/>
        <v>-0.0416994492525571</v>
      </c>
      <c r="H22" s="57" t="s">
        <v>30</v>
      </c>
      <c r="I22" s="57" t="s">
        <v>51</v>
      </c>
    </row>
    <row r="23" spans="1:9">
      <c r="A23" s="60" t="s">
        <v>52</v>
      </c>
      <c r="B23" s="60" t="s">
        <v>53</v>
      </c>
      <c r="C23" s="61" t="s">
        <v>54</v>
      </c>
      <c r="D23" s="61"/>
      <c r="E23" s="61"/>
      <c r="F23" s="61"/>
      <c r="G23" s="62"/>
      <c r="H23" s="61" t="s">
        <v>55</v>
      </c>
      <c r="I23" s="61" t="s">
        <v>56</v>
      </c>
    </row>
    <row r="24" spans="1:9">
      <c r="A24" s="60" t="s">
        <v>57</v>
      </c>
      <c r="B24" s="60" t="s">
        <v>58</v>
      </c>
      <c r="C24" s="61" t="s">
        <v>54</v>
      </c>
      <c r="D24" s="61"/>
      <c r="E24" s="61"/>
      <c r="F24" s="61"/>
      <c r="G24" s="62"/>
      <c r="H24" s="61" t="s">
        <v>47</v>
      </c>
      <c r="I24" s="61" t="s">
        <v>59</v>
      </c>
    </row>
    <row r="25" spans="1:9">
      <c r="A25" s="60" t="s">
        <v>60</v>
      </c>
      <c r="B25" s="60" t="s">
        <v>61</v>
      </c>
      <c r="C25" s="61" t="s">
        <v>54</v>
      </c>
      <c r="D25" s="61"/>
      <c r="E25" s="61"/>
      <c r="F25" s="61"/>
      <c r="G25" s="62"/>
      <c r="H25" s="61" t="s">
        <v>47</v>
      </c>
      <c r="I25" s="61" t="s">
        <v>62</v>
      </c>
    </row>
    <row r="26" spans="1:9">
      <c r="A26" s="60" t="s">
        <v>63</v>
      </c>
      <c r="B26" s="60" t="s">
        <v>64</v>
      </c>
      <c r="C26" s="61" t="s">
        <v>54</v>
      </c>
      <c r="D26" s="61"/>
      <c r="E26" s="61"/>
      <c r="F26" s="61"/>
      <c r="G26" s="62"/>
      <c r="H26" s="61" t="s">
        <v>47</v>
      </c>
      <c r="I26" s="61" t="s">
        <v>65</v>
      </c>
    </row>
    <row r="27" spans="1:9">
      <c r="A27" s="63" t="s">
        <v>66</v>
      </c>
      <c r="B27" s="63" t="s">
        <v>67</v>
      </c>
      <c r="C27" s="64"/>
      <c r="D27" s="64"/>
      <c r="E27" s="64"/>
      <c r="F27" s="64"/>
      <c r="G27" s="62"/>
      <c r="H27" s="64" t="s">
        <v>47</v>
      </c>
      <c r="I27" s="64" t="s">
        <v>68</v>
      </c>
    </row>
    <row r="28" spans="1:9">
      <c r="A28" s="59" t="s">
        <v>69</v>
      </c>
      <c r="B28" s="59" t="s">
        <v>70</v>
      </c>
      <c r="C28" s="56">
        <v>45775</v>
      </c>
      <c r="D28" s="57">
        <v>9.5</v>
      </c>
      <c r="E28" s="56">
        <v>45776</v>
      </c>
      <c r="F28" s="57">
        <v>9.44</v>
      </c>
      <c r="G28" s="58">
        <f>F28/D28-1</f>
        <v>-0.00631578947368427</v>
      </c>
      <c r="H28" s="57" t="s">
        <v>47</v>
      </c>
      <c r="I28" s="57" t="s">
        <v>71</v>
      </c>
    </row>
    <row r="29" spans="1:9">
      <c r="A29" s="59" t="s">
        <v>72</v>
      </c>
      <c r="B29" s="59" t="s">
        <v>73</v>
      </c>
      <c r="C29" s="56">
        <v>45768</v>
      </c>
      <c r="D29" s="57">
        <v>16.8</v>
      </c>
      <c r="E29" s="56">
        <v>45776</v>
      </c>
      <c r="F29" s="65">
        <v>16.48</v>
      </c>
      <c r="G29" s="58">
        <f>F29/D29-1</f>
        <v>-0.0190476190476191</v>
      </c>
      <c r="H29" s="57" t="s">
        <v>47</v>
      </c>
      <c r="I29" s="57" t="s">
        <v>74</v>
      </c>
    </row>
    <row r="30" spans="1:9">
      <c r="A30" s="59" t="s">
        <v>75</v>
      </c>
      <c r="B30" s="59" t="s">
        <v>76</v>
      </c>
      <c r="C30" s="56">
        <v>45756</v>
      </c>
      <c r="D30" s="57">
        <v>7.43</v>
      </c>
      <c r="E30" s="56">
        <v>45763</v>
      </c>
      <c r="F30" s="57">
        <v>7.8</v>
      </c>
      <c r="G30" s="58">
        <f>F30/D30-1</f>
        <v>0.0497981157469718</v>
      </c>
      <c r="H30" s="57" t="s">
        <v>47</v>
      </c>
      <c r="I30" s="57" t="s">
        <v>77</v>
      </c>
    </row>
    <row r="31" spans="1:9">
      <c r="A31" s="59" t="s">
        <v>78</v>
      </c>
      <c r="B31" s="59" t="s">
        <v>79</v>
      </c>
      <c r="C31" s="56">
        <v>45756</v>
      </c>
      <c r="D31" s="57">
        <v>14.67</v>
      </c>
      <c r="E31" s="56">
        <v>45763</v>
      </c>
      <c r="F31" s="57">
        <v>15.5</v>
      </c>
      <c r="G31" s="58">
        <f t="shared" ref="G31:G41" si="1">F31/D31-1</f>
        <v>0.0565780504430811</v>
      </c>
      <c r="H31" s="57" t="s">
        <v>47</v>
      </c>
      <c r="I31" s="57" t="s">
        <v>80</v>
      </c>
    </row>
    <row r="32" spans="1:9">
      <c r="A32" s="59" t="s">
        <v>81</v>
      </c>
      <c r="B32" s="59" t="s">
        <v>82</v>
      </c>
      <c r="C32" s="56">
        <v>45756</v>
      </c>
      <c r="D32" s="57">
        <v>34.3</v>
      </c>
      <c r="E32" s="56">
        <v>45757</v>
      </c>
      <c r="F32" s="57">
        <v>37.85</v>
      </c>
      <c r="G32" s="58">
        <f t="shared" si="1"/>
        <v>0.103498542274053</v>
      </c>
      <c r="H32" s="57" t="s">
        <v>47</v>
      </c>
      <c r="I32" s="57" t="s">
        <v>83</v>
      </c>
    </row>
    <row r="33" spans="1:9">
      <c r="A33" s="59" t="s">
        <v>84</v>
      </c>
      <c r="B33" s="59" t="s">
        <v>85</v>
      </c>
      <c r="C33" s="56">
        <v>45756</v>
      </c>
      <c r="D33" s="57">
        <v>17.56</v>
      </c>
      <c r="E33" s="56">
        <v>45761</v>
      </c>
      <c r="F33" s="57">
        <v>20.18</v>
      </c>
      <c r="G33" s="58">
        <f t="shared" si="1"/>
        <v>0.149202733485194</v>
      </c>
      <c r="H33" s="57" t="s">
        <v>47</v>
      </c>
      <c r="I33" s="57" t="s">
        <v>86</v>
      </c>
    </row>
    <row r="34" spans="1:9">
      <c r="A34" s="59" t="s">
        <v>87</v>
      </c>
      <c r="B34" s="59" t="s">
        <v>88</v>
      </c>
      <c r="C34" s="56">
        <v>45756</v>
      </c>
      <c r="D34" s="57">
        <v>15.12</v>
      </c>
      <c r="E34" s="56">
        <v>45757</v>
      </c>
      <c r="F34" s="57">
        <v>18.3</v>
      </c>
      <c r="G34" s="58">
        <f t="shared" si="1"/>
        <v>0.21031746031746</v>
      </c>
      <c r="H34" s="57" t="s">
        <v>47</v>
      </c>
      <c r="I34" s="57" t="s">
        <v>89</v>
      </c>
    </row>
    <row r="35" spans="1:9">
      <c r="A35" s="63" t="s">
        <v>90</v>
      </c>
      <c r="B35" s="63" t="s">
        <v>91</v>
      </c>
      <c r="C35" s="64"/>
      <c r="D35" s="64"/>
      <c r="E35" s="64"/>
      <c r="F35" s="64"/>
      <c r="G35" s="62"/>
      <c r="H35" s="64" t="s">
        <v>47</v>
      </c>
      <c r="I35" s="64" t="s">
        <v>92</v>
      </c>
    </row>
    <row r="36" spans="1:9">
      <c r="A36" s="63" t="s">
        <v>93</v>
      </c>
      <c r="B36" s="63" t="s">
        <v>94</v>
      </c>
      <c r="C36" s="64"/>
      <c r="D36" s="64"/>
      <c r="E36" s="64"/>
      <c r="F36" s="64"/>
      <c r="G36" s="62"/>
      <c r="H36" s="64" t="s">
        <v>47</v>
      </c>
      <c r="I36" s="64" t="s">
        <v>95</v>
      </c>
    </row>
    <row r="37" spans="1:9">
      <c r="A37" s="63" t="s">
        <v>96</v>
      </c>
      <c r="B37" s="63" t="s">
        <v>97</v>
      </c>
      <c r="C37" s="64"/>
      <c r="D37" s="64"/>
      <c r="E37" s="64"/>
      <c r="F37" s="64"/>
      <c r="G37" s="62"/>
      <c r="H37" s="64" t="s">
        <v>47</v>
      </c>
      <c r="I37" s="64" t="s">
        <v>98</v>
      </c>
    </row>
    <row r="38" spans="1:9">
      <c r="A38" s="59" t="s">
        <v>99</v>
      </c>
      <c r="B38" s="59" t="s">
        <v>100</v>
      </c>
      <c r="C38" s="56">
        <v>45756</v>
      </c>
      <c r="D38" s="57">
        <v>6.38</v>
      </c>
      <c r="E38" s="56">
        <v>45776</v>
      </c>
      <c r="F38" s="57">
        <v>6.38</v>
      </c>
      <c r="G38" s="58">
        <f t="shared" si="1"/>
        <v>0</v>
      </c>
      <c r="H38" s="57" t="s">
        <v>47</v>
      </c>
      <c r="I38" s="57" t="s">
        <v>101</v>
      </c>
    </row>
    <row r="39" spans="1:9">
      <c r="A39" s="63" t="s">
        <v>102</v>
      </c>
      <c r="B39" s="63" t="s">
        <v>103</v>
      </c>
      <c r="C39" s="64"/>
      <c r="D39" s="64"/>
      <c r="E39" s="64"/>
      <c r="F39" s="64"/>
      <c r="G39" s="62"/>
      <c r="H39" s="64" t="s">
        <v>47</v>
      </c>
      <c r="I39" s="64" t="s">
        <v>104</v>
      </c>
    </row>
    <row r="40" spans="1:9">
      <c r="A40" s="59" t="s">
        <v>105</v>
      </c>
      <c r="B40" s="59" t="s">
        <v>106</v>
      </c>
      <c r="C40" s="56">
        <v>45756</v>
      </c>
      <c r="D40" s="57">
        <v>4.05</v>
      </c>
      <c r="E40" s="56">
        <v>45763</v>
      </c>
      <c r="F40" s="57">
        <v>4.18</v>
      </c>
      <c r="G40" s="58">
        <f t="shared" si="1"/>
        <v>0.0320987654320988</v>
      </c>
      <c r="H40" s="57" t="s">
        <v>47</v>
      </c>
      <c r="I40" s="57" t="s">
        <v>107</v>
      </c>
    </row>
    <row r="41" spans="1:9">
      <c r="A41" s="59" t="s">
        <v>108</v>
      </c>
      <c r="B41" s="59" t="s">
        <v>109</v>
      </c>
      <c r="C41" s="56">
        <v>45756</v>
      </c>
      <c r="D41" s="57">
        <v>11.97</v>
      </c>
      <c r="E41" s="56">
        <v>45763</v>
      </c>
      <c r="F41" s="57">
        <v>13.34</v>
      </c>
      <c r="G41" s="58">
        <f t="shared" si="1"/>
        <v>0.114452798663325</v>
      </c>
      <c r="H41" s="57" t="s">
        <v>47</v>
      </c>
      <c r="I41" s="57" t="s">
        <v>110</v>
      </c>
    </row>
    <row r="42" spans="1:9">
      <c r="A42" s="63" t="s">
        <v>57</v>
      </c>
      <c r="B42" s="63" t="s">
        <v>58</v>
      </c>
      <c r="C42" s="64"/>
      <c r="D42" s="64"/>
      <c r="E42" s="64"/>
      <c r="F42" s="64"/>
      <c r="G42" s="64"/>
      <c r="H42" s="63" t="s">
        <v>111</v>
      </c>
      <c r="I42" s="64" t="s">
        <v>112</v>
      </c>
    </row>
    <row r="43" spans="1:9">
      <c r="A43" s="63" t="s">
        <v>113</v>
      </c>
      <c r="B43" s="63" t="s">
        <v>114</v>
      </c>
      <c r="C43" s="66">
        <v>45763</v>
      </c>
      <c r="D43" s="64">
        <v>28.2</v>
      </c>
      <c r="E43" s="64"/>
      <c r="F43" s="64">
        <v>28.95</v>
      </c>
      <c r="G43" s="67">
        <f>F43/D43-1</f>
        <v>0.0265957446808511</v>
      </c>
      <c r="H43" s="63" t="s">
        <v>30</v>
      </c>
      <c r="I43" s="64" t="s">
        <v>115</v>
      </c>
    </row>
    <row r="44" spans="1:9">
      <c r="A44" s="63" t="s">
        <v>116</v>
      </c>
      <c r="B44" s="63" t="s">
        <v>117</v>
      </c>
      <c r="C44" s="64"/>
      <c r="D44" s="64"/>
      <c r="E44" s="64"/>
      <c r="F44" s="64"/>
      <c r="G44" s="64"/>
      <c r="H44" s="63" t="s">
        <v>111</v>
      </c>
      <c r="I44" s="64" t="s">
        <v>118</v>
      </c>
    </row>
    <row r="45" spans="1:9">
      <c r="A45" s="63" t="s">
        <v>119</v>
      </c>
      <c r="B45" s="63" t="s">
        <v>120</v>
      </c>
      <c r="C45" s="64"/>
      <c r="D45" s="64"/>
      <c r="E45" s="64"/>
      <c r="F45" s="64"/>
      <c r="G45" s="64"/>
      <c r="H45" s="64" t="s">
        <v>47</v>
      </c>
      <c r="I45" s="64" t="s">
        <v>121</v>
      </c>
    </row>
    <row r="46" s="28" customFormat="1" spans="1:9">
      <c r="A46" s="63" t="s">
        <v>122</v>
      </c>
      <c r="B46" s="63" t="s">
        <v>123</v>
      </c>
      <c r="C46" s="66">
        <v>45775</v>
      </c>
      <c r="D46" s="64">
        <v>27.7</v>
      </c>
      <c r="E46" s="64"/>
      <c r="F46" s="64">
        <v>27.12</v>
      </c>
      <c r="G46" s="67">
        <f>F46/D46-1</f>
        <v>-0.0209386281588447</v>
      </c>
      <c r="H46" s="64" t="s">
        <v>47</v>
      </c>
      <c r="I46" s="64" t="s">
        <v>124</v>
      </c>
    </row>
    <row r="47" spans="1:9">
      <c r="A47" s="63" t="s">
        <v>38</v>
      </c>
      <c r="B47" s="63" t="s">
        <v>39</v>
      </c>
      <c r="C47" s="64"/>
      <c r="D47" s="64"/>
      <c r="E47" s="64"/>
      <c r="F47" s="64"/>
      <c r="G47" s="64"/>
      <c r="H47" s="64" t="s">
        <v>47</v>
      </c>
      <c r="I47" s="64" t="s">
        <v>125</v>
      </c>
    </row>
    <row r="48" spans="1:9">
      <c r="A48" s="63" t="s">
        <v>126</v>
      </c>
      <c r="B48" s="63" t="s">
        <v>127</v>
      </c>
      <c r="C48" s="64"/>
      <c r="D48" s="64"/>
      <c r="E48" s="64"/>
      <c r="F48" s="64"/>
      <c r="G48" s="64"/>
      <c r="H48" s="64" t="s">
        <v>47</v>
      </c>
      <c r="I48" s="64" t="s">
        <v>128</v>
      </c>
    </row>
    <row r="49" spans="1:9">
      <c r="A49" s="63" t="s">
        <v>129</v>
      </c>
      <c r="B49" s="63" t="s">
        <v>130</v>
      </c>
      <c r="C49" s="64"/>
      <c r="D49" s="64"/>
      <c r="E49" s="64"/>
      <c r="F49" s="64"/>
      <c r="G49" s="64"/>
      <c r="H49" s="64" t="s">
        <v>47</v>
      </c>
      <c r="I49" s="64" t="s">
        <v>131</v>
      </c>
    </row>
    <row r="50" spans="1:9">
      <c r="A50" s="63" t="s">
        <v>132</v>
      </c>
      <c r="B50" s="63" t="s">
        <v>133</v>
      </c>
      <c r="C50" s="64"/>
      <c r="D50" s="64"/>
      <c r="E50" s="64"/>
      <c r="F50" s="64"/>
      <c r="G50" s="64"/>
      <c r="H50" s="64" t="s">
        <v>47</v>
      </c>
      <c r="I50" s="64" t="s">
        <v>134</v>
      </c>
    </row>
    <row r="51" spans="1:9">
      <c r="A51" s="63" t="s">
        <v>135</v>
      </c>
      <c r="B51" s="63" t="s">
        <v>136</v>
      </c>
      <c r="C51" s="64"/>
      <c r="D51" s="64"/>
      <c r="E51" s="64"/>
      <c r="F51" s="64"/>
      <c r="G51" s="64"/>
      <c r="H51" s="64" t="s">
        <v>47</v>
      </c>
      <c r="I51" s="64" t="s">
        <v>137</v>
      </c>
    </row>
    <row r="52" spans="1:9">
      <c r="A52" s="63" t="s">
        <v>138</v>
      </c>
      <c r="B52" s="63" t="s">
        <v>139</v>
      </c>
      <c r="C52" s="64"/>
      <c r="D52" s="64"/>
      <c r="E52" s="64"/>
      <c r="F52" s="64"/>
      <c r="G52" s="64"/>
      <c r="H52" s="64" t="s">
        <v>47</v>
      </c>
      <c r="I52" s="64" t="s">
        <v>140</v>
      </c>
    </row>
    <row r="53" spans="1:9">
      <c r="A53" s="63" t="s">
        <v>141</v>
      </c>
      <c r="B53" s="63" t="s">
        <v>142</v>
      </c>
      <c r="C53" s="64"/>
      <c r="D53" s="64"/>
      <c r="E53" s="64"/>
      <c r="F53" s="64"/>
      <c r="G53" s="64"/>
      <c r="H53" s="64" t="s">
        <v>47</v>
      </c>
      <c r="I53" s="64" t="s">
        <v>143</v>
      </c>
    </row>
    <row r="54" spans="1:9">
      <c r="A54" s="63" t="s">
        <v>35</v>
      </c>
      <c r="B54" s="63" t="s">
        <v>36</v>
      </c>
      <c r="C54" s="64"/>
      <c r="D54" s="64"/>
      <c r="E54" s="64"/>
      <c r="F54" s="64"/>
      <c r="G54" s="64"/>
      <c r="H54" s="64" t="s">
        <v>47</v>
      </c>
      <c r="I54" s="64" t="s">
        <v>144</v>
      </c>
    </row>
    <row r="55" spans="1:9">
      <c r="A55" s="63" t="s">
        <v>52</v>
      </c>
      <c r="B55" s="63" t="s">
        <v>53</v>
      </c>
      <c r="C55" s="64"/>
      <c r="D55" s="64"/>
      <c r="E55" s="64"/>
      <c r="F55" s="64"/>
      <c r="G55" s="64"/>
      <c r="H55" s="64" t="s">
        <v>47</v>
      </c>
      <c r="I55" s="64" t="s">
        <v>145</v>
      </c>
    </row>
    <row r="56" spans="1:9">
      <c r="A56" s="63" t="s">
        <v>146</v>
      </c>
      <c r="B56" s="63" t="s">
        <v>147</v>
      </c>
      <c r="C56" s="64"/>
      <c r="D56" s="64"/>
      <c r="E56" s="64"/>
      <c r="F56" s="64"/>
      <c r="G56" s="64"/>
      <c r="H56" s="64" t="s">
        <v>47</v>
      </c>
      <c r="I56" s="64" t="s">
        <v>148</v>
      </c>
    </row>
    <row r="57" spans="1:9">
      <c r="A57" s="63" t="s">
        <v>45</v>
      </c>
      <c r="B57" s="63" t="s">
        <v>46</v>
      </c>
      <c r="C57" s="63"/>
      <c r="D57" s="63"/>
      <c r="E57" s="63"/>
      <c r="F57" s="63"/>
      <c r="G57" s="63"/>
      <c r="H57" s="63" t="s">
        <v>111</v>
      </c>
      <c r="I57" s="63" t="s">
        <v>149</v>
      </c>
    </row>
    <row r="58" spans="1:9">
      <c r="A58" s="31" t="s">
        <v>150</v>
      </c>
      <c r="B58" s="31" t="s">
        <v>151</v>
      </c>
      <c r="C58" s="33"/>
      <c r="D58" s="33"/>
      <c r="E58" s="33"/>
      <c r="F58" s="33"/>
      <c r="G58" s="33"/>
      <c r="H58" s="33" t="s">
        <v>111</v>
      </c>
      <c r="I58" s="33" t="s">
        <v>152</v>
      </c>
    </row>
    <row r="59" spans="1:9">
      <c r="A59" s="31" t="s">
        <v>153</v>
      </c>
      <c r="B59" s="31" t="s">
        <v>154</v>
      </c>
      <c r="C59" s="33"/>
      <c r="D59" s="33"/>
      <c r="E59" s="33"/>
      <c r="F59" s="33"/>
      <c r="G59" s="33"/>
      <c r="H59" s="33" t="s">
        <v>47</v>
      </c>
      <c r="I59" s="33" t="s">
        <v>155</v>
      </c>
    </row>
    <row r="60" spans="1:9">
      <c r="A60" s="31" t="s">
        <v>156</v>
      </c>
      <c r="B60" s="31" t="s">
        <v>157</v>
      </c>
      <c r="C60" s="32">
        <v>45771</v>
      </c>
      <c r="D60" s="33">
        <v>39.85</v>
      </c>
      <c r="E60" s="33"/>
      <c r="F60" s="33">
        <v>39.99</v>
      </c>
      <c r="G60" s="34">
        <f>F60/D60-1</f>
        <v>0.00351317440401511</v>
      </c>
      <c r="H60" s="33" t="s">
        <v>47</v>
      </c>
      <c r="I60" s="33" t="s">
        <v>158</v>
      </c>
    </row>
    <row r="62" spans="1:9">
      <c r="A62" s="14" t="s">
        <v>159</v>
      </c>
      <c r="B62" s="14"/>
      <c r="C62" s="14"/>
      <c r="D62" s="14"/>
      <c r="E62" s="14"/>
      <c r="F62" s="14"/>
      <c r="G62" s="14"/>
      <c r="H62" s="14"/>
      <c r="I62" s="14"/>
    </row>
    <row r="63" spans="1:9">
      <c r="A63" s="27" t="s">
        <v>160</v>
      </c>
      <c r="B63" s="27"/>
      <c r="C63" s="27"/>
      <c r="D63" s="27"/>
      <c r="E63" s="27"/>
      <c r="F63" s="27"/>
      <c r="G63" s="27"/>
      <c r="H63" s="27"/>
      <c r="I63" s="27"/>
    </row>
    <row r="64" spans="1:9">
      <c r="A64" s="10" t="s">
        <v>19</v>
      </c>
      <c r="B64" s="10" t="s">
        <v>20</v>
      </c>
      <c r="C64" s="10" t="s">
        <v>21</v>
      </c>
      <c r="D64" s="10" t="s">
        <v>22</v>
      </c>
      <c r="E64" s="10" t="s">
        <v>23</v>
      </c>
      <c r="F64" s="10" t="s">
        <v>24</v>
      </c>
      <c r="G64" s="10" t="s">
        <v>25</v>
      </c>
      <c r="H64" s="10" t="s">
        <v>26</v>
      </c>
      <c r="I64" s="10" t="s">
        <v>27</v>
      </c>
    </row>
    <row r="65" spans="1:9">
      <c r="A65" s="17" t="s">
        <v>122</v>
      </c>
      <c r="B65" s="17" t="s">
        <v>123</v>
      </c>
      <c r="C65" s="18">
        <v>45783</v>
      </c>
      <c r="D65" s="19">
        <v>27.7</v>
      </c>
      <c r="E65" s="18">
        <v>45793</v>
      </c>
      <c r="F65" s="19">
        <v>28.68</v>
      </c>
      <c r="G65" s="20">
        <f t="shared" ref="G65:G68" si="2">F65/D65-1</f>
        <v>0.0353790613718412</v>
      </c>
      <c r="H65" s="17" t="s">
        <v>47</v>
      </c>
      <c r="I65" s="19" t="s">
        <v>161</v>
      </c>
    </row>
    <row r="66" spans="1:9">
      <c r="A66" s="17" t="s">
        <v>129</v>
      </c>
      <c r="B66" s="17" t="s">
        <v>130</v>
      </c>
      <c r="C66" s="18">
        <v>45785</v>
      </c>
      <c r="D66" s="19">
        <v>23.47</v>
      </c>
      <c r="E66" s="18">
        <v>45793</v>
      </c>
      <c r="F66" s="19">
        <v>23.71</v>
      </c>
      <c r="G66" s="20">
        <f t="shared" si="2"/>
        <v>0.0102258201959951</v>
      </c>
      <c r="H66" s="17" t="s">
        <v>47</v>
      </c>
      <c r="I66" s="19" t="s">
        <v>162</v>
      </c>
    </row>
    <row r="67" spans="1:9">
      <c r="A67" s="17" t="s">
        <v>57</v>
      </c>
      <c r="B67" s="17" t="s">
        <v>58</v>
      </c>
      <c r="C67" s="18">
        <v>45909</v>
      </c>
      <c r="D67" s="19">
        <v>5.89</v>
      </c>
      <c r="E67" s="18">
        <v>45910</v>
      </c>
      <c r="F67" s="19">
        <v>5.7</v>
      </c>
      <c r="G67" s="20">
        <f t="shared" si="2"/>
        <v>-0.032258064516129</v>
      </c>
      <c r="H67" s="17" t="s">
        <v>111</v>
      </c>
      <c r="I67" s="19" t="s">
        <v>163</v>
      </c>
    </row>
    <row r="68" spans="1:9">
      <c r="A68" s="17" t="s">
        <v>69</v>
      </c>
      <c r="B68" s="17" t="s">
        <v>70</v>
      </c>
      <c r="C68" s="18">
        <v>45813</v>
      </c>
      <c r="D68" s="19">
        <v>9.33</v>
      </c>
      <c r="E68" s="18">
        <v>45821</v>
      </c>
      <c r="F68" s="19">
        <v>9.77</v>
      </c>
      <c r="G68" s="20">
        <f t="shared" si="2"/>
        <v>0.0471596998928188</v>
      </c>
      <c r="H68" s="17" t="s">
        <v>47</v>
      </c>
      <c r="I68" s="19" t="s">
        <v>164</v>
      </c>
    </row>
    <row r="69" spans="1:9">
      <c r="A69" s="17" t="s">
        <v>72</v>
      </c>
      <c r="B69" s="17" t="s">
        <v>73</v>
      </c>
      <c r="C69" s="18">
        <v>45784</v>
      </c>
      <c r="D69" s="19">
        <v>16.53</v>
      </c>
      <c r="E69" s="18">
        <v>45793</v>
      </c>
      <c r="F69" s="19">
        <v>17.31</v>
      </c>
      <c r="G69" s="20">
        <f t="shared" ref="G66:G79" si="3">F69/D69-1</f>
        <v>0.0471869328493646</v>
      </c>
      <c r="H69" s="17" t="s">
        <v>47</v>
      </c>
      <c r="I69" s="19" t="s">
        <v>165</v>
      </c>
    </row>
    <row r="70" spans="1:9">
      <c r="A70" s="17" t="s">
        <v>166</v>
      </c>
      <c r="B70" s="17" t="s">
        <v>167</v>
      </c>
      <c r="C70" s="18">
        <v>45812</v>
      </c>
      <c r="D70" s="19">
        <v>3.98</v>
      </c>
      <c r="E70" s="18">
        <v>45813</v>
      </c>
      <c r="F70" s="19">
        <v>3.95</v>
      </c>
      <c r="G70" s="20">
        <f t="shared" si="3"/>
        <v>-0.00753768844221103</v>
      </c>
      <c r="H70" s="17" t="s">
        <v>55</v>
      </c>
      <c r="I70" s="19" t="s">
        <v>168</v>
      </c>
    </row>
    <row r="71" s="28" customFormat="1" spans="1:9">
      <c r="A71" s="68" t="s">
        <v>169</v>
      </c>
      <c r="B71" s="68" t="s">
        <v>170</v>
      </c>
      <c r="C71" s="69"/>
      <c r="D71" s="69"/>
      <c r="E71" s="69"/>
      <c r="F71" s="69"/>
      <c r="G71" s="70" t="e">
        <f t="shared" si="3"/>
        <v>#DIV/0!</v>
      </c>
      <c r="H71" s="68" t="s">
        <v>111</v>
      </c>
      <c r="I71" s="69" t="s">
        <v>171</v>
      </c>
    </row>
    <row r="72" spans="1:9">
      <c r="A72" s="17" t="s">
        <v>172</v>
      </c>
      <c r="B72" s="17" t="s">
        <v>173</v>
      </c>
      <c r="C72" s="18">
        <v>45784</v>
      </c>
      <c r="D72" s="19">
        <v>10.19</v>
      </c>
      <c r="E72" s="18">
        <v>45789</v>
      </c>
      <c r="F72" s="19">
        <v>10.19</v>
      </c>
      <c r="G72" s="20">
        <f t="shared" si="3"/>
        <v>0</v>
      </c>
      <c r="H72" s="17" t="s">
        <v>111</v>
      </c>
      <c r="I72" s="19" t="s">
        <v>174</v>
      </c>
    </row>
    <row r="73" spans="1:9">
      <c r="A73" s="17" t="s">
        <v>156</v>
      </c>
      <c r="B73" s="17" t="s">
        <v>157</v>
      </c>
      <c r="C73" s="18">
        <v>45799</v>
      </c>
      <c r="D73" s="19">
        <v>41.2</v>
      </c>
      <c r="E73" s="18">
        <v>45804</v>
      </c>
      <c r="F73" s="19">
        <v>40.51</v>
      </c>
      <c r="G73" s="20">
        <f t="shared" si="3"/>
        <v>-0.0167475728155341</v>
      </c>
      <c r="H73" s="17" t="s">
        <v>175</v>
      </c>
      <c r="I73" s="19" t="s">
        <v>176</v>
      </c>
    </row>
    <row r="74" s="28" customFormat="1" spans="1:9">
      <c r="A74" s="68" t="s">
        <v>99</v>
      </c>
      <c r="B74" s="68" t="s">
        <v>100</v>
      </c>
      <c r="C74" s="69"/>
      <c r="D74" s="69"/>
      <c r="E74" s="69"/>
      <c r="F74" s="69"/>
      <c r="G74" s="70" t="e">
        <f t="shared" si="3"/>
        <v>#DIV/0!</v>
      </c>
      <c r="H74" s="68" t="s">
        <v>111</v>
      </c>
      <c r="I74" s="69" t="s">
        <v>177</v>
      </c>
    </row>
    <row r="75" spans="1:9">
      <c r="A75" s="68" t="s">
        <v>150</v>
      </c>
      <c r="B75" s="68" t="s">
        <v>151</v>
      </c>
      <c r="C75" s="69"/>
      <c r="D75" s="69"/>
      <c r="E75" s="69"/>
      <c r="F75" s="69"/>
      <c r="G75" s="70" t="e">
        <f t="shared" si="3"/>
        <v>#DIV/0!</v>
      </c>
      <c r="H75" s="68" t="s">
        <v>111</v>
      </c>
      <c r="I75" s="69" t="s">
        <v>178</v>
      </c>
    </row>
    <row r="76" spans="1:9">
      <c r="A76" s="17" t="s">
        <v>179</v>
      </c>
      <c r="B76" s="17" t="s">
        <v>180</v>
      </c>
      <c r="C76" s="18">
        <v>45785</v>
      </c>
      <c r="D76" s="19">
        <v>102.55</v>
      </c>
      <c r="E76" s="18">
        <v>45786</v>
      </c>
      <c r="F76" s="19">
        <v>101.94</v>
      </c>
      <c r="G76" s="20">
        <f t="shared" si="3"/>
        <v>-0.00594831789371042</v>
      </c>
      <c r="H76" s="17" t="s">
        <v>111</v>
      </c>
      <c r="I76" s="19" t="s">
        <v>181</v>
      </c>
    </row>
    <row r="77" spans="1:9">
      <c r="A77" s="17" t="s">
        <v>182</v>
      </c>
      <c r="B77" s="17" t="s">
        <v>183</v>
      </c>
      <c r="C77" s="18">
        <v>45798</v>
      </c>
      <c r="D77" s="19">
        <v>23.48</v>
      </c>
      <c r="E77" s="18">
        <v>45799</v>
      </c>
      <c r="F77" s="19">
        <v>23.25</v>
      </c>
      <c r="G77" s="20">
        <f t="shared" si="3"/>
        <v>-0.00979557069846682</v>
      </c>
      <c r="H77" s="17" t="s">
        <v>111</v>
      </c>
      <c r="I77" s="19" t="s">
        <v>184</v>
      </c>
    </row>
    <row r="78" spans="1:9">
      <c r="A78" s="17" t="s">
        <v>185</v>
      </c>
      <c r="B78" s="17" t="s">
        <v>186</v>
      </c>
      <c r="C78" s="18">
        <v>45807</v>
      </c>
      <c r="D78" s="19">
        <v>3.81</v>
      </c>
      <c r="E78" s="18">
        <v>45818</v>
      </c>
      <c r="F78" s="19">
        <v>3.82</v>
      </c>
      <c r="G78" s="20">
        <f t="shared" si="3"/>
        <v>0.00262467191601035</v>
      </c>
      <c r="H78" s="17" t="s">
        <v>55</v>
      </c>
      <c r="I78" s="19" t="s">
        <v>187</v>
      </c>
    </row>
    <row r="79" spans="1:9">
      <c r="A79" s="17" t="s">
        <v>116</v>
      </c>
      <c r="B79" s="17" t="s">
        <v>117</v>
      </c>
      <c r="C79" s="18">
        <v>45847</v>
      </c>
      <c r="D79" s="19">
        <v>56.9</v>
      </c>
      <c r="E79" s="18">
        <v>45852</v>
      </c>
      <c r="F79" s="19">
        <v>56.38</v>
      </c>
      <c r="G79" s="20">
        <f t="shared" si="3"/>
        <v>-0.00913884007029875</v>
      </c>
      <c r="H79" s="17" t="s">
        <v>30</v>
      </c>
      <c r="I79" s="19" t="s">
        <v>188</v>
      </c>
    </row>
    <row r="80" spans="1:9">
      <c r="A80" s="17" t="s">
        <v>99</v>
      </c>
      <c r="B80" s="17" t="s">
        <v>100</v>
      </c>
      <c r="C80" s="18">
        <v>45807</v>
      </c>
      <c r="D80" s="19">
        <v>6.53</v>
      </c>
      <c r="E80" s="18">
        <v>45827</v>
      </c>
      <c r="F80" s="19">
        <v>7</v>
      </c>
      <c r="G80" s="20">
        <f t="shared" ref="G80:G82" si="4">F80/D80-1</f>
        <v>0.0719754977029097</v>
      </c>
      <c r="H80" s="17" t="s">
        <v>111</v>
      </c>
      <c r="I80" s="19" t="s">
        <v>189</v>
      </c>
    </row>
    <row r="81" spans="1:9">
      <c r="A81" s="17" t="s">
        <v>75</v>
      </c>
      <c r="B81" s="17" t="s">
        <v>76</v>
      </c>
      <c r="C81" s="18">
        <v>45841</v>
      </c>
      <c r="D81" s="19">
        <v>7.93</v>
      </c>
      <c r="E81" s="18">
        <v>45845</v>
      </c>
      <c r="F81" s="19">
        <v>7.82</v>
      </c>
      <c r="G81" s="20">
        <f t="shared" si="4"/>
        <v>-0.0138713745271122</v>
      </c>
      <c r="H81" s="19" t="s">
        <v>47</v>
      </c>
      <c r="I81" s="19" t="s">
        <v>190</v>
      </c>
    </row>
    <row r="82" spans="1:9">
      <c r="A82" s="17" t="s">
        <v>42</v>
      </c>
      <c r="B82" s="17" t="s">
        <v>43</v>
      </c>
      <c r="C82" s="18">
        <v>45847</v>
      </c>
      <c r="D82" s="19">
        <v>72.99</v>
      </c>
      <c r="E82" s="18">
        <v>45852</v>
      </c>
      <c r="F82" s="19">
        <v>71.92</v>
      </c>
      <c r="G82" s="20">
        <f t="shared" si="4"/>
        <v>-0.0146595424030688</v>
      </c>
      <c r="H82" s="19" t="s">
        <v>47</v>
      </c>
      <c r="I82" s="19" t="s">
        <v>191</v>
      </c>
    </row>
    <row r="83" spans="1:9">
      <c r="A83" s="17" t="s">
        <v>192</v>
      </c>
      <c r="B83" s="19" t="s">
        <v>193</v>
      </c>
      <c r="C83" s="18">
        <v>45818</v>
      </c>
      <c r="D83" s="19">
        <v>17.4</v>
      </c>
      <c r="E83" s="18">
        <v>45821</v>
      </c>
      <c r="F83" s="19">
        <v>17.25</v>
      </c>
      <c r="G83" s="20">
        <f t="shared" ref="G83:G94" si="5">F83/D83-1</f>
        <v>-0.00862068965517238</v>
      </c>
      <c r="H83" s="17" t="s">
        <v>47</v>
      </c>
      <c r="I83" s="19" t="s">
        <v>194</v>
      </c>
    </row>
    <row r="84" spans="1:9">
      <c r="A84" s="17" t="s">
        <v>60</v>
      </c>
      <c r="B84" s="17" t="s">
        <v>61</v>
      </c>
      <c r="C84" s="18">
        <v>45827</v>
      </c>
      <c r="D84" s="19">
        <v>8.65</v>
      </c>
      <c r="E84" s="18">
        <v>45842</v>
      </c>
      <c r="F84" s="19">
        <v>9.16</v>
      </c>
      <c r="G84" s="20">
        <f t="shared" si="5"/>
        <v>0.0589595375722543</v>
      </c>
      <c r="H84" s="17" t="s">
        <v>47</v>
      </c>
      <c r="I84" s="19" t="s">
        <v>195</v>
      </c>
    </row>
    <row r="85" spans="1:9">
      <c r="A85" s="17" t="s">
        <v>196</v>
      </c>
      <c r="B85" s="17" t="s">
        <v>197</v>
      </c>
      <c r="C85" s="18">
        <v>45818</v>
      </c>
      <c r="D85" s="19">
        <v>72.95</v>
      </c>
      <c r="E85" s="18">
        <v>45826</v>
      </c>
      <c r="F85" s="19">
        <v>70.93</v>
      </c>
      <c r="G85" s="20">
        <f t="shared" si="5"/>
        <v>-0.0276901987662782</v>
      </c>
      <c r="H85" s="17" t="s">
        <v>47</v>
      </c>
      <c r="I85" s="19" t="s">
        <v>198</v>
      </c>
    </row>
    <row r="86" spans="1:9">
      <c r="A86" s="17" t="s">
        <v>199</v>
      </c>
      <c r="B86" s="17" t="s">
        <v>200</v>
      </c>
      <c r="C86" s="18">
        <v>45918</v>
      </c>
      <c r="D86" s="19">
        <v>35.17</v>
      </c>
      <c r="E86" s="18">
        <v>45922</v>
      </c>
      <c r="F86" s="19">
        <v>34.06</v>
      </c>
      <c r="G86" s="20">
        <f t="shared" si="5"/>
        <v>-0.0315609894796701</v>
      </c>
      <c r="H86" s="17" t="s">
        <v>47</v>
      </c>
      <c r="I86" s="19" t="s">
        <v>201</v>
      </c>
    </row>
    <row r="87" spans="1:9">
      <c r="A87" s="17" t="s">
        <v>202</v>
      </c>
      <c r="B87" s="17" t="s">
        <v>203</v>
      </c>
      <c r="C87" s="18">
        <v>45863</v>
      </c>
      <c r="D87" s="19">
        <v>85</v>
      </c>
      <c r="E87" s="18">
        <v>45869</v>
      </c>
      <c r="F87" s="19">
        <v>82.64</v>
      </c>
      <c r="G87" s="20">
        <f t="shared" si="5"/>
        <v>-0.0277647058823529</v>
      </c>
      <c r="H87" s="17" t="s">
        <v>30</v>
      </c>
      <c r="I87" s="19" t="s">
        <v>204</v>
      </c>
    </row>
    <row r="88" spans="1:9">
      <c r="A88" s="17" t="s">
        <v>150</v>
      </c>
      <c r="B88" s="17" t="s">
        <v>151</v>
      </c>
      <c r="C88" s="18">
        <v>45841</v>
      </c>
      <c r="D88" s="19">
        <v>10.16</v>
      </c>
      <c r="E88" s="18">
        <v>45845</v>
      </c>
      <c r="F88" s="19">
        <v>9.98</v>
      </c>
      <c r="G88" s="20">
        <f t="shared" si="5"/>
        <v>-0.0177165354330708</v>
      </c>
      <c r="H88" s="17" t="s">
        <v>47</v>
      </c>
      <c r="I88" s="19" t="s">
        <v>205</v>
      </c>
    </row>
    <row r="89" spans="1:9">
      <c r="A89" s="17" t="s">
        <v>122</v>
      </c>
      <c r="B89" s="17" t="s">
        <v>123</v>
      </c>
      <c r="C89" s="18">
        <v>45826</v>
      </c>
      <c r="D89" s="19">
        <v>26.35</v>
      </c>
      <c r="E89" s="18">
        <v>45835</v>
      </c>
      <c r="F89" s="19">
        <v>30.13</v>
      </c>
      <c r="G89" s="20">
        <f t="shared" si="5"/>
        <v>0.143453510436433</v>
      </c>
      <c r="H89" s="17" t="s">
        <v>47</v>
      </c>
      <c r="I89" s="19" t="s">
        <v>206</v>
      </c>
    </row>
    <row r="90" spans="1:9">
      <c r="A90" s="17" t="s">
        <v>113</v>
      </c>
      <c r="B90" s="17" t="s">
        <v>114</v>
      </c>
      <c r="C90" s="18">
        <v>45854</v>
      </c>
      <c r="D90" s="19">
        <v>28.83</v>
      </c>
      <c r="E90" s="18">
        <v>45873</v>
      </c>
      <c r="F90" s="19">
        <v>30.82</v>
      </c>
      <c r="G90" s="20">
        <f t="shared" si="5"/>
        <v>0.0690253208463407</v>
      </c>
      <c r="H90" s="17" t="s">
        <v>30</v>
      </c>
      <c r="I90" s="19" t="s">
        <v>207</v>
      </c>
    </row>
    <row r="91" spans="1:9">
      <c r="A91" s="17" t="s">
        <v>208</v>
      </c>
      <c r="B91" s="17" t="s">
        <v>209</v>
      </c>
      <c r="C91" s="18">
        <v>45841</v>
      </c>
      <c r="D91" s="19">
        <v>5.37</v>
      </c>
      <c r="E91" s="18">
        <v>45854</v>
      </c>
      <c r="F91" s="19">
        <v>5.83</v>
      </c>
      <c r="G91" s="20">
        <f t="shared" si="5"/>
        <v>0.0856610800744879</v>
      </c>
      <c r="H91" s="17" t="s">
        <v>47</v>
      </c>
      <c r="I91" s="19" t="s">
        <v>210</v>
      </c>
    </row>
    <row r="92" spans="1:9">
      <c r="A92" s="17" t="s">
        <v>211</v>
      </c>
      <c r="B92" s="17" t="s">
        <v>212</v>
      </c>
      <c r="C92" s="18">
        <v>45895</v>
      </c>
      <c r="D92" s="19">
        <v>10.06</v>
      </c>
      <c r="E92" s="18">
        <v>45897</v>
      </c>
      <c r="F92" s="19">
        <v>9.97</v>
      </c>
      <c r="G92" s="20">
        <f t="shared" si="5"/>
        <v>-0.00894632206759438</v>
      </c>
      <c r="H92" s="17" t="s">
        <v>47</v>
      </c>
      <c r="I92" s="19" t="s">
        <v>213</v>
      </c>
    </row>
    <row r="93" spans="1:9">
      <c r="A93" s="17" t="s">
        <v>214</v>
      </c>
      <c r="B93" s="17" t="s">
        <v>215</v>
      </c>
      <c r="C93" s="18">
        <v>45973</v>
      </c>
      <c r="D93" s="19">
        <v>4.27</v>
      </c>
      <c r="E93" s="18">
        <v>45979</v>
      </c>
      <c r="F93" s="19">
        <v>4.18</v>
      </c>
      <c r="G93" s="20">
        <f t="shared" si="5"/>
        <v>-0.0210772833723654</v>
      </c>
      <c r="H93" s="17" t="s">
        <v>47</v>
      </c>
      <c r="I93" s="19" t="s">
        <v>216</v>
      </c>
    </row>
    <row r="94" spans="1:9">
      <c r="A94" s="17" t="s">
        <v>156</v>
      </c>
      <c r="B94" s="17" t="s">
        <v>157</v>
      </c>
      <c r="C94" s="18">
        <v>45972</v>
      </c>
      <c r="D94" s="19">
        <v>44.23</v>
      </c>
      <c r="E94" s="18">
        <v>45978</v>
      </c>
      <c r="F94" s="19">
        <v>44.12</v>
      </c>
      <c r="G94" s="20">
        <f t="shared" si="5"/>
        <v>-0.00248699977390909</v>
      </c>
      <c r="H94" s="17" t="s">
        <v>47</v>
      </c>
      <c r="I94" s="19" t="s">
        <v>217</v>
      </c>
    </row>
    <row r="95" spans="1:9">
      <c r="A95" s="17" t="s">
        <v>32</v>
      </c>
      <c r="B95" s="17" t="s">
        <v>33</v>
      </c>
      <c r="C95" s="18">
        <v>45841</v>
      </c>
      <c r="D95" s="19">
        <v>33.4</v>
      </c>
      <c r="E95" s="18">
        <v>45845</v>
      </c>
      <c r="F95" s="19">
        <v>32.47</v>
      </c>
      <c r="G95" s="20">
        <f t="shared" ref="G95:G103" si="6">F95/D95-1</f>
        <v>-0.0278443113772455</v>
      </c>
      <c r="H95" s="17" t="s">
        <v>47</v>
      </c>
      <c r="I95" s="19" t="s">
        <v>218</v>
      </c>
    </row>
    <row r="96" spans="1:9">
      <c r="A96" s="17" t="s">
        <v>219</v>
      </c>
      <c r="B96" s="17" t="s">
        <v>220</v>
      </c>
      <c r="C96" s="18">
        <v>45926</v>
      </c>
      <c r="D96" s="19">
        <v>3.22</v>
      </c>
      <c r="E96" s="18">
        <v>45954</v>
      </c>
      <c r="F96" s="19">
        <v>3.25</v>
      </c>
      <c r="G96" s="20">
        <f t="shared" si="6"/>
        <v>0.00931677018633525</v>
      </c>
      <c r="H96" s="17" t="s">
        <v>30</v>
      </c>
      <c r="I96" s="19" t="s">
        <v>221</v>
      </c>
    </row>
    <row r="97" spans="1:9">
      <c r="A97" s="17" t="s">
        <v>222</v>
      </c>
      <c r="B97" s="17" t="s">
        <v>223</v>
      </c>
      <c r="C97" s="18">
        <v>46035</v>
      </c>
      <c r="D97" s="19">
        <v>7.39</v>
      </c>
      <c r="E97" s="18">
        <v>46036</v>
      </c>
      <c r="F97" s="19">
        <v>7.31</v>
      </c>
      <c r="G97" s="20">
        <f t="shared" si="6"/>
        <v>-0.0108254397834913</v>
      </c>
      <c r="H97" s="17" t="s">
        <v>47</v>
      </c>
      <c r="I97" s="19" t="s">
        <v>224</v>
      </c>
    </row>
    <row r="98" spans="1:9">
      <c r="A98" s="17" t="s">
        <v>196</v>
      </c>
      <c r="B98" s="17" t="s">
        <v>197</v>
      </c>
      <c r="C98" s="18">
        <v>46028</v>
      </c>
      <c r="D98" s="19">
        <v>63.37</v>
      </c>
      <c r="E98" s="18">
        <v>46038</v>
      </c>
      <c r="F98" s="19">
        <v>63.69</v>
      </c>
      <c r="G98" s="20">
        <f t="shared" si="6"/>
        <v>0.0050497080637526</v>
      </c>
      <c r="H98" s="17" t="s">
        <v>47</v>
      </c>
      <c r="I98" s="19" t="s">
        <v>225</v>
      </c>
    </row>
    <row r="99" spans="1:9">
      <c r="A99" s="17" t="s">
        <v>99</v>
      </c>
      <c r="B99" s="17" t="s">
        <v>100</v>
      </c>
      <c r="C99" s="18">
        <v>45897</v>
      </c>
      <c r="D99" s="19">
        <v>6.74</v>
      </c>
      <c r="E99" s="18">
        <v>45909</v>
      </c>
      <c r="F99" s="19">
        <v>7.51</v>
      </c>
      <c r="G99" s="20">
        <f t="shared" si="6"/>
        <v>0.114243323442137</v>
      </c>
      <c r="H99" s="17" t="s">
        <v>47</v>
      </c>
      <c r="I99" s="19" t="s">
        <v>226</v>
      </c>
    </row>
    <row r="100" spans="1:9">
      <c r="A100" s="17" t="s">
        <v>60</v>
      </c>
      <c r="B100" s="17" t="s">
        <v>61</v>
      </c>
      <c r="C100" s="18">
        <v>45897</v>
      </c>
      <c r="D100" s="19">
        <v>9.43</v>
      </c>
      <c r="E100" s="18">
        <v>45910</v>
      </c>
      <c r="F100" s="19">
        <v>12.41</v>
      </c>
      <c r="G100" s="20">
        <f t="shared" si="6"/>
        <v>0.316012725344645</v>
      </c>
      <c r="H100" s="17" t="s">
        <v>47</v>
      </c>
      <c r="I100" s="19" t="s">
        <v>227</v>
      </c>
    </row>
    <row r="101" spans="1:9">
      <c r="A101" s="17" t="s">
        <v>228</v>
      </c>
      <c r="B101" s="17" t="s">
        <v>229</v>
      </c>
      <c r="C101" s="18">
        <v>46029</v>
      </c>
      <c r="D101" s="19">
        <v>12.5</v>
      </c>
      <c r="E101" s="18">
        <v>46036</v>
      </c>
      <c r="F101" s="19">
        <v>12.64</v>
      </c>
      <c r="G101" s="20">
        <f t="shared" si="6"/>
        <v>0.0112000000000001</v>
      </c>
      <c r="H101" s="17" t="s">
        <v>55</v>
      </c>
      <c r="I101" s="19" t="s">
        <v>230</v>
      </c>
    </row>
    <row r="102" spans="1:9">
      <c r="A102" s="17" t="s">
        <v>231</v>
      </c>
      <c r="B102" s="17" t="s">
        <v>232</v>
      </c>
      <c r="C102" s="18">
        <v>45925</v>
      </c>
      <c r="D102" s="19">
        <v>21.69</v>
      </c>
      <c r="E102" s="18">
        <v>45959</v>
      </c>
      <c r="F102" s="19">
        <v>20.85</v>
      </c>
      <c r="G102" s="20">
        <f t="shared" si="6"/>
        <v>-0.0387275242047026</v>
      </c>
      <c r="H102" s="17" t="s">
        <v>55</v>
      </c>
      <c r="I102" s="19" t="s">
        <v>233</v>
      </c>
    </row>
    <row r="103" spans="1:9">
      <c r="A103" s="17" t="s">
        <v>234</v>
      </c>
      <c r="B103" s="17" t="s">
        <v>235</v>
      </c>
      <c r="C103" s="18">
        <v>45996</v>
      </c>
      <c r="D103" s="19">
        <v>3.82</v>
      </c>
      <c r="E103" s="18">
        <v>46000</v>
      </c>
      <c r="F103" s="19">
        <v>3.75</v>
      </c>
      <c r="G103" s="20">
        <f t="shared" si="6"/>
        <v>-0.0183246073298429</v>
      </c>
      <c r="H103" s="17" t="s">
        <v>55</v>
      </c>
      <c r="I103" s="19" t="s">
        <v>236</v>
      </c>
    </row>
    <row r="104" spans="1:9">
      <c r="A104" s="17" t="s">
        <v>237</v>
      </c>
      <c r="B104" s="17" t="s">
        <v>238</v>
      </c>
      <c r="C104" s="18">
        <v>45925</v>
      </c>
      <c r="D104" s="19">
        <v>23.37</v>
      </c>
      <c r="E104" s="18">
        <v>45981</v>
      </c>
      <c r="F104" s="19">
        <v>22.55</v>
      </c>
      <c r="G104" s="20">
        <f t="shared" ref="G104:G109" si="7">F104/D104-1</f>
        <v>-0.0350877192982456</v>
      </c>
      <c r="H104" s="19" t="s">
        <v>47</v>
      </c>
      <c r="I104" s="19" t="s">
        <v>239</v>
      </c>
    </row>
    <row r="105" spans="1:9">
      <c r="A105" s="17" t="s">
        <v>240</v>
      </c>
      <c r="B105" s="17" t="s">
        <v>241</v>
      </c>
      <c r="C105" s="18">
        <v>45917</v>
      </c>
      <c r="D105" s="19">
        <v>4.52</v>
      </c>
      <c r="E105" s="18">
        <v>45918</v>
      </c>
      <c r="F105" s="19">
        <v>4.48</v>
      </c>
      <c r="G105" s="20">
        <f t="shared" si="7"/>
        <v>-0.00884955752212369</v>
      </c>
      <c r="H105" s="19" t="s">
        <v>47</v>
      </c>
      <c r="I105" s="19" t="s">
        <v>242</v>
      </c>
    </row>
    <row r="106" spans="1:9">
      <c r="A106" s="17" t="s">
        <v>243</v>
      </c>
      <c r="B106" s="17" t="s">
        <v>244</v>
      </c>
      <c r="C106" s="18">
        <v>45940</v>
      </c>
      <c r="D106" s="19">
        <v>5.2</v>
      </c>
      <c r="E106" s="18">
        <v>45958</v>
      </c>
      <c r="F106" s="19">
        <v>5.24</v>
      </c>
      <c r="G106" s="20">
        <f t="shared" si="7"/>
        <v>0.00769230769230766</v>
      </c>
      <c r="H106" s="19" t="s">
        <v>47</v>
      </c>
      <c r="I106" s="19" t="s">
        <v>245</v>
      </c>
    </row>
    <row r="107" spans="1:9">
      <c r="A107" s="17" t="s">
        <v>246</v>
      </c>
      <c r="B107" s="17" t="s">
        <v>247</v>
      </c>
      <c r="C107" s="18">
        <v>45958</v>
      </c>
      <c r="D107" s="19">
        <v>9.92</v>
      </c>
      <c r="E107" s="18">
        <v>45979</v>
      </c>
      <c r="F107" s="19">
        <v>10.12</v>
      </c>
      <c r="G107" s="20">
        <f t="shared" si="7"/>
        <v>0.0201612903225805</v>
      </c>
      <c r="H107" s="17" t="s">
        <v>30</v>
      </c>
      <c r="I107" s="19" t="s">
        <v>248</v>
      </c>
    </row>
    <row r="108" spans="1:9">
      <c r="A108" s="17" t="s">
        <v>182</v>
      </c>
      <c r="B108" s="17" t="s">
        <v>183</v>
      </c>
      <c r="C108" s="18">
        <v>45957</v>
      </c>
      <c r="D108" s="19">
        <v>22</v>
      </c>
      <c r="E108" s="18">
        <v>45975</v>
      </c>
      <c r="F108" s="19">
        <v>22.79</v>
      </c>
      <c r="G108" s="20">
        <f t="shared" si="7"/>
        <v>0.0359090909090909</v>
      </c>
      <c r="H108" s="19" t="s">
        <v>47</v>
      </c>
      <c r="I108" s="19" t="s">
        <v>249</v>
      </c>
    </row>
    <row r="109" spans="1:9">
      <c r="A109" s="17" t="s">
        <v>250</v>
      </c>
      <c r="B109" s="17" t="s">
        <v>251</v>
      </c>
      <c r="C109" s="18">
        <v>45925</v>
      </c>
      <c r="D109" s="19">
        <v>20.09</v>
      </c>
      <c r="E109" s="18">
        <v>45943</v>
      </c>
      <c r="F109" s="19">
        <v>19.63</v>
      </c>
      <c r="G109" s="20">
        <f t="shared" si="7"/>
        <v>-0.0228969636635142</v>
      </c>
      <c r="H109" s="17" t="s">
        <v>30</v>
      </c>
      <c r="I109" s="19" t="s">
        <v>252</v>
      </c>
    </row>
    <row r="110" spans="1:9">
      <c r="A110" s="17" t="s">
        <v>253</v>
      </c>
      <c r="B110" s="17" t="s">
        <v>254</v>
      </c>
      <c r="C110" s="19"/>
      <c r="D110" s="19"/>
      <c r="E110" s="19"/>
      <c r="F110" s="19"/>
      <c r="G110" s="19"/>
      <c r="H110" s="19" t="s">
        <v>47</v>
      </c>
      <c r="I110" s="19" t="s">
        <v>255</v>
      </c>
    </row>
    <row r="111" spans="1:9">
      <c r="A111" s="17" t="s">
        <v>169</v>
      </c>
      <c r="B111" s="17" t="s">
        <v>170</v>
      </c>
      <c r="C111" s="18">
        <v>45940</v>
      </c>
      <c r="D111" s="19">
        <v>33.31</v>
      </c>
      <c r="E111" s="18">
        <v>45944</v>
      </c>
      <c r="F111" s="19">
        <v>32.7</v>
      </c>
      <c r="G111" s="20">
        <f t="shared" ref="G111:G117" si="8">F111/D111-1</f>
        <v>-0.0183128189732813</v>
      </c>
      <c r="H111" s="19" t="s">
        <v>47</v>
      </c>
      <c r="I111" s="19" t="s">
        <v>256</v>
      </c>
    </row>
    <row r="112" spans="1:9">
      <c r="A112" s="17" t="s">
        <v>257</v>
      </c>
      <c r="B112" s="17" t="s">
        <v>258</v>
      </c>
      <c r="C112" s="18">
        <v>45940</v>
      </c>
      <c r="D112" s="19">
        <v>16.2</v>
      </c>
      <c r="E112" s="18">
        <v>45944</v>
      </c>
      <c r="F112" s="19">
        <v>15.93</v>
      </c>
      <c r="G112" s="20">
        <f t="shared" si="8"/>
        <v>-0.0166666666666666</v>
      </c>
      <c r="H112" s="17" t="s">
        <v>55</v>
      </c>
      <c r="I112" s="19" t="s">
        <v>259</v>
      </c>
    </row>
    <row r="113" spans="1:9">
      <c r="A113" s="17" t="s">
        <v>260</v>
      </c>
      <c r="B113" s="17" t="s">
        <v>261</v>
      </c>
      <c r="C113" s="18">
        <v>46028</v>
      </c>
      <c r="D113" s="19">
        <v>19.41</v>
      </c>
      <c r="E113" s="18">
        <v>46037</v>
      </c>
      <c r="F113" s="19">
        <v>19.42</v>
      </c>
      <c r="G113" s="20">
        <f t="shared" si="8"/>
        <v>0.000515198351365376</v>
      </c>
      <c r="H113" s="19" t="s">
        <v>47</v>
      </c>
      <c r="I113" s="19" t="s">
        <v>262</v>
      </c>
    </row>
    <row r="114" spans="1:9">
      <c r="A114" s="17" t="s">
        <v>263</v>
      </c>
      <c r="B114" s="17" t="s">
        <v>264</v>
      </c>
      <c r="C114" s="18">
        <v>45971</v>
      </c>
      <c r="D114" s="19">
        <v>4.34</v>
      </c>
      <c r="E114" s="18">
        <v>45979</v>
      </c>
      <c r="F114" s="19">
        <v>4.3</v>
      </c>
      <c r="G114" s="20">
        <f t="shared" si="8"/>
        <v>-0.00921658986175111</v>
      </c>
      <c r="H114" s="17" t="s">
        <v>55</v>
      </c>
      <c r="I114" s="19" t="s">
        <v>265</v>
      </c>
    </row>
    <row r="115" spans="1:9">
      <c r="A115" s="17" t="s">
        <v>202</v>
      </c>
      <c r="B115" s="17" t="s">
        <v>203</v>
      </c>
      <c r="C115" s="18">
        <v>45972</v>
      </c>
      <c r="D115" s="19">
        <v>73.33</v>
      </c>
      <c r="E115" s="18">
        <v>45978</v>
      </c>
      <c r="F115" s="19">
        <v>71.21</v>
      </c>
      <c r="G115" s="20">
        <f t="shared" si="8"/>
        <v>-0.02891040501841</v>
      </c>
      <c r="H115" s="19" t="s">
        <v>47</v>
      </c>
      <c r="I115" s="19" t="s">
        <v>266</v>
      </c>
    </row>
    <row r="116" spans="1:9">
      <c r="A116" s="17" t="s">
        <v>231</v>
      </c>
      <c r="B116" s="17" t="s">
        <v>232</v>
      </c>
      <c r="C116" s="18">
        <v>46035</v>
      </c>
      <c r="D116" s="19">
        <v>19.16</v>
      </c>
      <c r="E116" s="18">
        <v>46036</v>
      </c>
      <c r="F116" s="19">
        <v>18.8</v>
      </c>
      <c r="G116" s="20">
        <f t="shared" si="8"/>
        <v>-0.0187891440501043</v>
      </c>
      <c r="H116" s="19" t="s">
        <v>47</v>
      </c>
      <c r="I116" s="19" t="s">
        <v>267</v>
      </c>
    </row>
    <row r="117" spans="1:9">
      <c r="A117" s="17" t="s">
        <v>268</v>
      </c>
      <c r="B117" s="17" t="s">
        <v>269</v>
      </c>
      <c r="C117" s="18">
        <v>46029</v>
      </c>
      <c r="D117" s="19">
        <v>93.23</v>
      </c>
      <c r="E117" s="18">
        <v>46037</v>
      </c>
      <c r="F117" s="19">
        <v>92.11</v>
      </c>
      <c r="G117" s="20">
        <f t="shared" si="8"/>
        <v>-0.0120133004397727</v>
      </c>
      <c r="H117" s="19" t="s">
        <v>47</v>
      </c>
      <c r="I117" s="19" t="s">
        <v>270</v>
      </c>
    </row>
    <row r="118" spans="1:9">
      <c r="A118" s="17" t="s">
        <v>169</v>
      </c>
      <c r="B118" s="17" t="s">
        <v>170</v>
      </c>
      <c r="C118" s="18">
        <v>45999</v>
      </c>
      <c r="D118" s="19">
        <v>33.5</v>
      </c>
      <c r="E118" s="18">
        <v>46007</v>
      </c>
      <c r="F118" s="19">
        <v>34.3</v>
      </c>
      <c r="G118" s="20">
        <f t="shared" ref="G118:G124" si="9">F118/D118-1</f>
        <v>0.0238805970149254</v>
      </c>
      <c r="H118" s="17" t="s">
        <v>271</v>
      </c>
      <c r="I118" s="19" t="s">
        <v>272</v>
      </c>
    </row>
    <row r="119" spans="1:9">
      <c r="A119" s="17" t="s">
        <v>273</v>
      </c>
      <c r="B119" s="17" t="s">
        <v>274</v>
      </c>
      <c r="C119" s="18">
        <v>46006</v>
      </c>
      <c r="D119" s="19">
        <v>31.17</v>
      </c>
      <c r="E119" s="18">
        <v>46007</v>
      </c>
      <c r="F119" s="19">
        <v>30</v>
      </c>
      <c r="G119" s="20">
        <f t="shared" si="9"/>
        <v>-0.0375360923965352</v>
      </c>
      <c r="H119" s="19" t="s">
        <v>175</v>
      </c>
      <c r="I119" s="19" t="s">
        <v>275</v>
      </c>
    </row>
    <row r="120" spans="1:9">
      <c r="A120" s="17" t="s">
        <v>276</v>
      </c>
      <c r="B120" s="17" t="s">
        <v>277</v>
      </c>
      <c r="C120" s="18">
        <v>46008</v>
      </c>
      <c r="D120" s="19">
        <v>6.42</v>
      </c>
      <c r="E120" s="18">
        <v>46013</v>
      </c>
      <c r="F120" s="19">
        <v>6.55</v>
      </c>
      <c r="G120" s="20">
        <f t="shared" si="9"/>
        <v>0.0202492211838006</v>
      </c>
      <c r="H120" s="19" t="s">
        <v>47</v>
      </c>
      <c r="I120" s="19" t="s">
        <v>278</v>
      </c>
    </row>
    <row r="121" spans="1:9">
      <c r="A121" s="17" t="s">
        <v>279</v>
      </c>
      <c r="B121" s="17" t="s">
        <v>280</v>
      </c>
      <c r="C121" s="18">
        <v>46016</v>
      </c>
      <c r="D121" s="19">
        <v>16.53</v>
      </c>
      <c r="E121" s="18">
        <v>46021</v>
      </c>
      <c r="F121" s="19">
        <v>16.46</v>
      </c>
      <c r="G121" s="20">
        <f t="shared" si="9"/>
        <v>-0.00423472474289177</v>
      </c>
      <c r="H121" s="19" t="s">
        <v>47</v>
      </c>
      <c r="I121" s="19" t="s">
        <v>281</v>
      </c>
    </row>
    <row r="122" spans="1:9">
      <c r="A122" s="17" t="s">
        <v>282</v>
      </c>
      <c r="B122" s="17" t="s">
        <v>283</v>
      </c>
      <c r="C122" s="18">
        <v>46029</v>
      </c>
      <c r="D122" s="19">
        <v>6.91</v>
      </c>
      <c r="E122" s="18">
        <v>46038</v>
      </c>
      <c r="F122" s="19">
        <v>6.91</v>
      </c>
      <c r="G122" s="20">
        <f t="shared" si="9"/>
        <v>0</v>
      </c>
      <c r="H122" s="19" t="s">
        <v>55</v>
      </c>
      <c r="I122" s="19" t="s">
        <v>284</v>
      </c>
    </row>
    <row r="123" spans="1:9">
      <c r="A123" s="17" t="s">
        <v>285</v>
      </c>
      <c r="B123" s="17" t="s">
        <v>286</v>
      </c>
      <c r="C123" s="18">
        <v>46029</v>
      </c>
      <c r="D123" s="19">
        <v>14.9</v>
      </c>
      <c r="E123" s="18">
        <v>46036</v>
      </c>
      <c r="F123" s="19">
        <v>14.84</v>
      </c>
      <c r="G123" s="20">
        <f t="shared" si="9"/>
        <v>-0.00402684563758393</v>
      </c>
      <c r="H123" s="19" t="s">
        <v>47</v>
      </c>
      <c r="I123" s="19" t="s">
        <v>287</v>
      </c>
    </row>
    <row r="124" spans="1:9">
      <c r="A124" s="17" t="s">
        <v>288</v>
      </c>
      <c r="B124" s="17" t="s">
        <v>289</v>
      </c>
      <c r="C124" s="18">
        <v>46031</v>
      </c>
      <c r="D124" s="19">
        <v>12.22</v>
      </c>
      <c r="E124" s="18">
        <v>46036</v>
      </c>
      <c r="F124" s="19">
        <v>11.92</v>
      </c>
      <c r="G124" s="20">
        <f t="shared" si="9"/>
        <v>-0.0245499181669395</v>
      </c>
      <c r="H124" s="19" t="s">
        <v>47</v>
      </c>
      <c r="I124" s="19" t="s">
        <v>290</v>
      </c>
    </row>
    <row r="125" spans="1:9">
      <c r="A125" s="27" t="s">
        <v>291</v>
      </c>
      <c r="B125" s="27"/>
      <c r="C125" s="27"/>
      <c r="D125" s="27"/>
      <c r="E125" s="27"/>
      <c r="F125" s="27"/>
      <c r="G125" s="27"/>
      <c r="H125" s="27"/>
      <c r="I125" s="27"/>
    </row>
    <row r="126" spans="1:9">
      <c r="A126" s="17" t="s">
        <v>260</v>
      </c>
      <c r="B126" s="17" t="s">
        <v>261</v>
      </c>
      <c r="C126" s="18">
        <v>46013</v>
      </c>
      <c r="D126" s="19">
        <v>19.26</v>
      </c>
      <c r="E126" s="18">
        <v>46021</v>
      </c>
      <c r="F126" s="19">
        <v>18.98</v>
      </c>
      <c r="G126" s="20">
        <f t="shared" ref="G126:G133" si="10">F126/D126-1</f>
        <v>-0.0145379023883697</v>
      </c>
      <c r="H126" s="19" t="s">
        <v>47</v>
      </c>
      <c r="I126" s="19" t="s">
        <v>292</v>
      </c>
    </row>
    <row r="127" spans="1:9">
      <c r="A127" s="17" t="s">
        <v>211</v>
      </c>
      <c r="B127" s="17" t="s">
        <v>212</v>
      </c>
      <c r="C127" s="18">
        <v>46013</v>
      </c>
      <c r="D127" s="19">
        <v>9.42</v>
      </c>
      <c r="E127" s="18">
        <v>46022</v>
      </c>
      <c r="F127" s="19">
        <v>9.36</v>
      </c>
      <c r="G127" s="20">
        <f t="shared" si="10"/>
        <v>-0.00636942675159236</v>
      </c>
      <c r="H127" s="19" t="s">
        <v>47</v>
      </c>
      <c r="I127" s="19" t="s">
        <v>292</v>
      </c>
    </row>
    <row r="128" spans="1:9">
      <c r="A128" s="17" t="s">
        <v>288</v>
      </c>
      <c r="B128" s="17" t="s">
        <v>289</v>
      </c>
      <c r="C128" s="18">
        <v>46016</v>
      </c>
      <c r="D128" s="19">
        <v>11.67</v>
      </c>
      <c r="E128" s="18">
        <v>46036</v>
      </c>
      <c r="F128" s="19">
        <v>11.89</v>
      </c>
      <c r="G128" s="20">
        <f t="shared" si="10"/>
        <v>0.0188517566409598</v>
      </c>
      <c r="H128" s="19" t="s">
        <v>47</v>
      </c>
      <c r="I128" s="19" t="s">
        <v>293</v>
      </c>
    </row>
    <row r="129" spans="1:9">
      <c r="A129" s="17" t="s">
        <v>99</v>
      </c>
      <c r="B129" s="17" t="s">
        <v>100</v>
      </c>
      <c r="C129" s="18">
        <v>46016</v>
      </c>
      <c r="D129" s="19">
        <v>6.72</v>
      </c>
      <c r="E129" s="18">
        <v>46036</v>
      </c>
      <c r="F129" s="19">
        <v>7.14</v>
      </c>
      <c r="G129" s="20">
        <f t="shared" si="10"/>
        <v>0.0625</v>
      </c>
      <c r="H129" s="19" t="s">
        <v>47</v>
      </c>
      <c r="I129" s="19" t="s">
        <v>293</v>
      </c>
    </row>
    <row r="130" spans="1:9">
      <c r="A130" s="17" t="s">
        <v>63</v>
      </c>
      <c r="B130" s="17" t="s">
        <v>64</v>
      </c>
      <c r="C130" s="18">
        <v>46021</v>
      </c>
      <c r="D130" s="19">
        <v>37.13</v>
      </c>
      <c r="E130" s="18">
        <v>46043</v>
      </c>
      <c r="F130" s="19">
        <v>42.72</v>
      </c>
      <c r="G130" s="20">
        <f t="shared" si="10"/>
        <v>0.150552114193375</v>
      </c>
      <c r="H130" s="19" t="s">
        <v>47</v>
      </c>
      <c r="I130" s="19" t="s">
        <v>294</v>
      </c>
    </row>
    <row r="131" spans="1:9">
      <c r="A131" s="17" t="s">
        <v>285</v>
      </c>
      <c r="B131" s="17" t="s">
        <v>286</v>
      </c>
      <c r="C131" s="18">
        <v>46017</v>
      </c>
      <c r="D131" s="19">
        <v>14.82</v>
      </c>
      <c r="E131" s="18">
        <v>46037</v>
      </c>
      <c r="F131" s="19">
        <v>14.8</v>
      </c>
      <c r="G131" s="20">
        <f t="shared" si="10"/>
        <v>-0.00134952766531715</v>
      </c>
      <c r="H131" s="19" t="s">
        <v>47</v>
      </c>
      <c r="I131" s="19" t="s">
        <v>295</v>
      </c>
    </row>
    <row r="132" spans="1:9">
      <c r="A132" s="17" t="s">
        <v>296</v>
      </c>
      <c r="B132" s="17" t="s">
        <v>297</v>
      </c>
      <c r="C132" s="18">
        <v>46028</v>
      </c>
      <c r="D132" s="19">
        <v>32.47</v>
      </c>
      <c r="E132" s="18">
        <v>46038</v>
      </c>
      <c r="F132" s="19">
        <v>34.36</v>
      </c>
      <c r="G132" s="20">
        <f t="shared" si="10"/>
        <v>0.0582075762242069</v>
      </c>
      <c r="H132" s="19" t="s">
        <v>47</v>
      </c>
      <c r="I132" s="19" t="s">
        <v>298</v>
      </c>
    </row>
    <row r="133" spans="1:9">
      <c r="A133" s="17" t="s">
        <v>299</v>
      </c>
      <c r="B133" s="17" t="s">
        <v>300</v>
      </c>
      <c r="C133" s="18">
        <v>46031</v>
      </c>
      <c r="D133" s="19">
        <v>4.54</v>
      </c>
      <c r="E133" s="18">
        <v>46049</v>
      </c>
      <c r="F133" s="19">
        <v>4.83</v>
      </c>
      <c r="G133" s="20">
        <f t="shared" si="10"/>
        <v>0.0638766519823788</v>
      </c>
      <c r="H133" s="19" t="s">
        <v>47</v>
      </c>
      <c r="I133" s="19" t="s">
        <v>301</v>
      </c>
    </row>
    <row r="134" spans="1:9">
      <c r="A134" s="17" t="s">
        <v>302</v>
      </c>
      <c r="B134" s="17" t="s">
        <v>303</v>
      </c>
      <c r="C134" s="18">
        <v>46028</v>
      </c>
      <c r="D134" s="19">
        <v>10.56</v>
      </c>
      <c r="E134" s="18">
        <v>46037</v>
      </c>
      <c r="F134" s="19">
        <v>10.65</v>
      </c>
      <c r="G134" s="20">
        <f t="shared" ref="G134:G140" si="11">F134/D134-1</f>
        <v>0.00852272727272729</v>
      </c>
      <c r="H134" s="19" t="s">
        <v>47</v>
      </c>
      <c r="I134" s="19" t="s">
        <v>298</v>
      </c>
    </row>
    <row r="135" spans="1:9">
      <c r="A135" s="17" t="s">
        <v>304</v>
      </c>
      <c r="B135" s="17" t="s">
        <v>305</v>
      </c>
      <c r="C135" s="18">
        <v>46028</v>
      </c>
      <c r="D135" s="19">
        <v>3.12</v>
      </c>
      <c r="E135" s="18">
        <v>46036</v>
      </c>
      <c r="F135" s="19">
        <v>3.11</v>
      </c>
      <c r="G135" s="20">
        <f t="shared" si="11"/>
        <v>-0.0032051282051283</v>
      </c>
      <c r="H135" s="19" t="s">
        <v>47</v>
      </c>
      <c r="I135" s="19" t="s">
        <v>298</v>
      </c>
    </row>
    <row r="136" spans="1:9">
      <c r="A136" s="17" t="s">
        <v>222</v>
      </c>
      <c r="B136" s="17" t="s">
        <v>223</v>
      </c>
      <c r="C136" s="18">
        <v>46034</v>
      </c>
      <c r="D136" s="19">
        <v>7.31</v>
      </c>
      <c r="E136" s="18">
        <v>46049</v>
      </c>
      <c r="F136" s="19">
        <v>7.43</v>
      </c>
      <c r="G136" s="20">
        <f t="shared" si="11"/>
        <v>0.0164158686730507</v>
      </c>
      <c r="H136" s="17" t="s">
        <v>111</v>
      </c>
      <c r="I136" s="19" t="s">
        <v>306</v>
      </c>
    </row>
    <row r="137" spans="1:9">
      <c r="A137" s="17" t="s">
        <v>307</v>
      </c>
      <c r="B137" s="17" t="s">
        <v>308</v>
      </c>
      <c r="C137" s="18">
        <v>46029</v>
      </c>
      <c r="D137" s="19">
        <v>40.97</v>
      </c>
      <c r="E137" s="18">
        <v>46038</v>
      </c>
      <c r="F137" s="19">
        <v>41.63</v>
      </c>
      <c r="G137" s="20">
        <f t="shared" si="11"/>
        <v>0.016109348303637</v>
      </c>
      <c r="H137" s="17" t="s">
        <v>55</v>
      </c>
      <c r="I137" s="19" t="s">
        <v>309</v>
      </c>
    </row>
    <row r="138" spans="1:9">
      <c r="A138" s="17" t="s">
        <v>310</v>
      </c>
      <c r="B138" s="17" t="s">
        <v>311</v>
      </c>
      <c r="C138" s="18">
        <v>46029</v>
      </c>
      <c r="D138" s="19">
        <v>40.6</v>
      </c>
      <c r="E138" s="18">
        <v>46049</v>
      </c>
      <c r="F138" s="19">
        <v>42.67</v>
      </c>
      <c r="G138" s="20">
        <f t="shared" si="11"/>
        <v>0.050985221674877</v>
      </c>
      <c r="H138" s="19" t="s">
        <v>47</v>
      </c>
      <c r="I138" s="19" t="s">
        <v>309</v>
      </c>
    </row>
    <row r="139" spans="1:9">
      <c r="A139" s="17" t="s">
        <v>312</v>
      </c>
      <c r="B139" s="17" t="s">
        <v>313</v>
      </c>
      <c r="C139" s="18">
        <v>46078</v>
      </c>
      <c r="D139" s="19">
        <v>5.93</v>
      </c>
      <c r="E139" s="18">
        <v>46097</v>
      </c>
      <c r="F139" s="19">
        <v>6.37</v>
      </c>
      <c r="G139" s="20">
        <f t="shared" si="11"/>
        <v>0.0741989881956155</v>
      </c>
      <c r="H139" s="19" t="s">
        <v>47</v>
      </c>
      <c r="I139" s="19" t="s">
        <v>314</v>
      </c>
    </row>
    <row r="140" spans="1:9">
      <c r="A140" s="17" t="s">
        <v>260</v>
      </c>
      <c r="B140" s="17" t="s">
        <v>261</v>
      </c>
      <c r="C140" s="18">
        <v>46049</v>
      </c>
      <c r="D140" s="19">
        <v>19.24</v>
      </c>
      <c r="E140" s="18">
        <v>46052</v>
      </c>
      <c r="F140" s="19">
        <v>17.37</v>
      </c>
      <c r="G140" s="20">
        <f t="shared" si="11"/>
        <v>-0.097193347193347</v>
      </c>
      <c r="H140" s="17" t="s">
        <v>111</v>
      </c>
      <c r="I140" s="19" t="s">
        <v>315</v>
      </c>
    </row>
    <row r="141" spans="1:9">
      <c r="A141" s="27" t="s">
        <v>316</v>
      </c>
      <c r="B141" s="27"/>
      <c r="C141" s="27"/>
      <c r="D141" s="27"/>
      <c r="E141" s="27"/>
      <c r="F141" s="27"/>
      <c r="G141" s="27"/>
      <c r="H141" s="27"/>
      <c r="I141" s="27"/>
    </row>
    <row r="142" spans="1:9">
      <c r="A142" s="17" t="s">
        <v>288</v>
      </c>
      <c r="B142" s="17" t="s">
        <v>289</v>
      </c>
      <c r="C142" s="18">
        <v>46057</v>
      </c>
      <c r="D142" s="19">
        <v>12.15</v>
      </c>
      <c r="E142" s="18">
        <v>46064</v>
      </c>
      <c r="F142" s="19">
        <v>12.84</v>
      </c>
      <c r="G142" s="20">
        <f t="shared" ref="G142:G150" si="12">F142/D142-1</f>
        <v>0.05679012345679</v>
      </c>
      <c r="H142" s="19" t="s">
        <v>47</v>
      </c>
      <c r="I142" s="19" t="s">
        <v>317</v>
      </c>
    </row>
    <row r="143" spans="1:9">
      <c r="A143" s="17" t="s">
        <v>318</v>
      </c>
      <c r="B143" s="17" t="s">
        <v>319</v>
      </c>
      <c r="C143" s="18">
        <v>46079</v>
      </c>
      <c r="D143" s="19">
        <v>74.13</v>
      </c>
      <c r="E143" s="18">
        <v>46083</v>
      </c>
      <c r="F143" s="19">
        <v>70.2</v>
      </c>
      <c r="G143" s="20">
        <f t="shared" si="12"/>
        <v>-0.0530149736948603</v>
      </c>
      <c r="H143" s="19" t="s">
        <v>47</v>
      </c>
      <c r="I143" s="19" t="s">
        <v>320</v>
      </c>
    </row>
    <row r="144" spans="1:9">
      <c r="A144" s="17" t="s">
        <v>321</v>
      </c>
      <c r="B144" s="17" t="s">
        <v>322</v>
      </c>
      <c r="C144" s="18">
        <v>46092</v>
      </c>
      <c r="D144" s="19">
        <v>140.22</v>
      </c>
      <c r="E144" s="18">
        <v>46099</v>
      </c>
      <c r="F144" s="19">
        <v>140.4</v>
      </c>
      <c r="G144" s="20">
        <f t="shared" si="12"/>
        <v>0.00128369704749676</v>
      </c>
      <c r="H144" s="19" t="s">
        <v>47</v>
      </c>
      <c r="I144" s="19" t="s">
        <v>323</v>
      </c>
    </row>
    <row r="145" spans="1:9">
      <c r="A145" s="17" t="s">
        <v>324</v>
      </c>
      <c r="B145" s="17" t="s">
        <v>325</v>
      </c>
      <c r="C145" s="18">
        <v>46093</v>
      </c>
      <c r="D145" s="19">
        <v>10.86</v>
      </c>
      <c r="E145" s="18">
        <v>46099</v>
      </c>
      <c r="F145" s="19">
        <v>10.77</v>
      </c>
      <c r="G145" s="20">
        <f t="shared" si="12"/>
        <v>-0.00828729281767959</v>
      </c>
      <c r="H145" s="19" t="s">
        <v>47</v>
      </c>
      <c r="I145" s="19" t="s">
        <v>326</v>
      </c>
    </row>
    <row r="146" spans="1:9">
      <c r="A146" s="17" t="s">
        <v>327</v>
      </c>
      <c r="B146" s="17" t="s">
        <v>328</v>
      </c>
      <c r="C146" s="18">
        <v>46093</v>
      </c>
      <c r="D146" s="19">
        <v>25.18</v>
      </c>
      <c r="E146" s="18">
        <v>46100</v>
      </c>
      <c r="F146" s="19">
        <v>25.4</v>
      </c>
      <c r="G146" s="20">
        <f t="shared" si="12"/>
        <v>0.00873709293089742</v>
      </c>
      <c r="H146" s="19" t="s">
        <v>47</v>
      </c>
      <c r="I146" s="19" t="s">
        <v>326</v>
      </c>
    </row>
    <row r="147" spans="1:9">
      <c r="A147" s="17" t="s">
        <v>329</v>
      </c>
      <c r="B147" s="17" t="s">
        <v>330</v>
      </c>
      <c r="C147" s="18">
        <v>46094</v>
      </c>
      <c r="D147" s="19">
        <v>14.85</v>
      </c>
      <c r="E147" s="18">
        <v>46100</v>
      </c>
      <c r="F147" s="19">
        <v>14.5</v>
      </c>
      <c r="G147" s="20">
        <f t="shared" si="12"/>
        <v>-0.0235690235690236</v>
      </c>
      <c r="H147" s="19" t="s">
        <v>47</v>
      </c>
      <c r="I147" s="19" t="s">
        <v>331</v>
      </c>
    </row>
    <row r="148" spans="1:9">
      <c r="A148" s="17" t="s">
        <v>285</v>
      </c>
      <c r="B148" s="17" t="s">
        <v>286</v>
      </c>
      <c r="C148" s="18">
        <v>46097</v>
      </c>
      <c r="D148" s="19">
        <v>14.1</v>
      </c>
      <c r="E148" s="18">
        <v>46099</v>
      </c>
      <c r="F148" s="19">
        <v>14.04</v>
      </c>
      <c r="G148" s="20">
        <f t="shared" si="12"/>
        <v>-0.00425531914893618</v>
      </c>
      <c r="H148" s="19" t="s">
        <v>47</v>
      </c>
      <c r="I148" s="19" t="s">
        <v>332</v>
      </c>
    </row>
    <row r="149" spans="1:9">
      <c r="A149" s="17" t="s">
        <v>268</v>
      </c>
      <c r="B149" s="17" t="s">
        <v>269</v>
      </c>
      <c r="C149" s="18">
        <v>46092</v>
      </c>
      <c r="D149" s="19">
        <v>91.38</v>
      </c>
      <c r="E149" s="18">
        <v>46104</v>
      </c>
      <c r="F149" s="19">
        <v>91.71</v>
      </c>
      <c r="G149" s="20">
        <f t="shared" si="12"/>
        <v>0.00361129349967171</v>
      </c>
      <c r="H149" s="19" t="s">
        <v>47</v>
      </c>
      <c r="I149" s="19" t="s">
        <v>323</v>
      </c>
    </row>
    <row r="150" spans="1:9">
      <c r="A150" s="17" t="s">
        <v>333</v>
      </c>
      <c r="B150" s="17" t="s">
        <v>334</v>
      </c>
      <c r="C150" s="18">
        <v>46098</v>
      </c>
      <c r="D150" s="19">
        <v>14.23</v>
      </c>
      <c r="E150" s="18">
        <v>46101</v>
      </c>
      <c r="F150" s="19">
        <v>14.1</v>
      </c>
      <c r="G150" s="20">
        <f t="shared" si="12"/>
        <v>-0.00913562895291642</v>
      </c>
      <c r="H150" s="19" t="s">
        <v>47</v>
      </c>
      <c r="I150" s="19" t="s">
        <v>335</v>
      </c>
    </row>
    <row r="151" spans="1:9">
      <c r="A151" s="17" t="s">
        <v>336</v>
      </c>
      <c r="B151" s="17" t="s">
        <v>337</v>
      </c>
      <c r="C151" s="19"/>
      <c r="D151" s="19"/>
      <c r="E151" s="19"/>
      <c r="F151" s="19"/>
      <c r="G151" s="19"/>
      <c r="H151" s="19" t="s">
        <v>47</v>
      </c>
      <c r="I151" s="19" t="s">
        <v>338</v>
      </c>
    </row>
    <row r="152" spans="1:9">
      <c r="A152" s="17" t="s">
        <v>339</v>
      </c>
      <c r="B152" s="17" t="s">
        <v>340</v>
      </c>
      <c r="C152" s="18">
        <v>46094</v>
      </c>
      <c r="D152" s="19">
        <v>39.4</v>
      </c>
      <c r="E152" s="18">
        <v>46100</v>
      </c>
      <c r="F152" s="19">
        <v>38.87</v>
      </c>
      <c r="G152" s="20">
        <f t="shared" ref="G152:G155" si="13">F152/D152-1</f>
        <v>-0.0134517766497462</v>
      </c>
      <c r="H152" s="19" t="s">
        <v>47</v>
      </c>
      <c r="I152" s="19" t="s">
        <v>341</v>
      </c>
    </row>
    <row r="153" spans="1:9">
      <c r="A153" s="17" t="s">
        <v>156</v>
      </c>
      <c r="B153" s="17" t="s">
        <v>157</v>
      </c>
      <c r="C153" s="18">
        <v>46111</v>
      </c>
      <c r="D153" s="19">
        <v>41.45</v>
      </c>
      <c r="E153" s="18">
        <v>46115</v>
      </c>
      <c r="F153" s="19">
        <v>40.99</v>
      </c>
      <c r="G153" s="20">
        <f t="shared" si="13"/>
        <v>-0.0110977080820266</v>
      </c>
      <c r="H153" s="17" t="s">
        <v>55</v>
      </c>
      <c r="I153" s="19" t="s">
        <v>342</v>
      </c>
    </row>
    <row r="154" spans="1:9">
      <c r="A154" s="17" t="s">
        <v>343</v>
      </c>
      <c r="B154" s="17" t="s">
        <v>344</v>
      </c>
      <c r="C154" s="18">
        <v>46121</v>
      </c>
      <c r="D154" s="19">
        <v>8.52</v>
      </c>
      <c r="E154" s="18">
        <v>46134</v>
      </c>
      <c r="F154" s="19">
        <v>8.57</v>
      </c>
      <c r="G154" s="20">
        <f t="shared" si="13"/>
        <v>0.005868544600939</v>
      </c>
      <c r="H154" s="17" t="s">
        <v>55</v>
      </c>
      <c r="I154" s="19" t="s">
        <v>345</v>
      </c>
    </row>
    <row r="155" spans="1:9">
      <c r="A155" s="17" t="s">
        <v>346</v>
      </c>
      <c r="B155" s="17" t="s">
        <v>347</v>
      </c>
      <c r="C155" s="18">
        <v>46114</v>
      </c>
      <c r="D155" s="19">
        <v>8.54</v>
      </c>
      <c r="E155" s="18">
        <v>46119</v>
      </c>
      <c r="F155" s="19">
        <v>8.41</v>
      </c>
      <c r="G155" s="20">
        <f t="shared" si="13"/>
        <v>-0.0152224824355971</v>
      </c>
      <c r="H155" s="17" t="s">
        <v>111</v>
      </c>
      <c r="I155" s="19" t="s">
        <v>348</v>
      </c>
    </row>
    <row r="156" spans="1:9">
      <c r="A156" s="17" t="s">
        <v>349</v>
      </c>
      <c r="B156" s="17" t="s">
        <v>350</v>
      </c>
      <c r="C156" s="18">
        <v>46100</v>
      </c>
      <c r="D156" s="19">
        <v>20.8</v>
      </c>
      <c r="E156" s="18">
        <v>46101</v>
      </c>
      <c r="F156" s="19">
        <v>20.17</v>
      </c>
      <c r="G156" s="20">
        <f t="shared" ref="G156:G161" si="14">F156/D156-1</f>
        <v>-0.0302884615384615</v>
      </c>
      <c r="H156" s="17" t="s">
        <v>30</v>
      </c>
      <c r="I156" s="19" t="s">
        <v>351</v>
      </c>
    </row>
    <row r="157" spans="1:9">
      <c r="A157" s="17" t="s">
        <v>352</v>
      </c>
      <c r="B157" s="17" t="s">
        <v>353</v>
      </c>
      <c r="C157" s="19"/>
      <c r="D157" s="19">
        <v>30.76</v>
      </c>
      <c r="E157" s="18">
        <v>46115</v>
      </c>
      <c r="F157" s="19">
        <v>29.59</v>
      </c>
      <c r="G157" s="20">
        <f t="shared" si="14"/>
        <v>-0.038036410923277</v>
      </c>
      <c r="H157" s="17" t="s">
        <v>55</v>
      </c>
      <c r="I157" s="19" t="s">
        <v>354</v>
      </c>
    </row>
    <row r="158" spans="1:9">
      <c r="A158" s="17" t="s">
        <v>355</v>
      </c>
      <c r="B158" s="17" t="s">
        <v>356</v>
      </c>
      <c r="C158" s="18">
        <v>46100</v>
      </c>
      <c r="D158" s="19">
        <v>17.9</v>
      </c>
      <c r="E158" s="18">
        <v>46101</v>
      </c>
      <c r="F158" s="19">
        <v>17.4</v>
      </c>
      <c r="G158" s="20">
        <f t="shared" si="14"/>
        <v>-0.0279329608938548</v>
      </c>
      <c r="H158" s="17" t="s">
        <v>111</v>
      </c>
      <c r="I158" s="19" t="s">
        <v>357</v>
      </c>
    </row>
    <row r="159" spans="1:9">
      <c r="A159" s="17" t="s">
        <v>358</v>
      </c>
      <c r="B159" s="17" t="s">
        <v>359</v>
      </c>
      <c r="C159" s="18">
        <v>46113</v>
      </c>
      <c r="D159" s="19">
        <v>1.78</v>
      </c>
      <c r="E159" s="18">
        <v>46119</v>
      </c>
      <c r="F159" s="19">
        <v>1.77</v>
      </c>
      <c r="G159" s="20">
        <f t="shared" si="14"/>
        <v>-0.0056179775280899</v>
      </c>
      <c r="H159" s="19" t="s">
        <v>47</v>
      </c>
      <c r="I159" s="19" t="s">
        <v>360</v>
      </c>
    </row>
    <row r="160" spans="1:9">
      <c r="A160" s="17" t="s">
        <v>361</v>
      </c>
      <c r="B160" s="17" t="s">
        <v>362</v>
      </c>
      <c r="C160" s="18">
        <v>46112</v>
      </c>
      <c r="D160" s="19">
        <v>9.8</v>
      </c>
      <c r="E160" s="18">
        <v>46115</v>
      </c>
      <c r="F160" s="19">
        <v>9.51</v>
      </c>
      <c r="G160" s="20">
        <f t="shared" si="14"/>
        <v>-0.029591836734694</v>
      </c>
      <c r="H160" s="19" t="s">
        <v>47</v>
      </c>
      <c r="I160" s="19" t="s">
        <v>363</v>
      </c>
    </row>
    <row r="161" spans="1:9">
      <c r="A161" s="17" t="s">
        <v>324</v>
      </c>
      <c r="B161" s="17" t="s">
        <v>325</v>
      </c>
      <c r="C161" s="18">
        <v>46121</v>
      </c>
      <c r="D161" s="19">
        <v>10.09</v>
      </c>
      <c r="E161" s="18">
        <v>46132</v>
      </c>
      <c r="F161" s="19">
        <v>10.04</v>
      </c>
      <c r="G161" s="20">
        <f t="shared" si="14"/>
        <v>-0.00495540138751249</v>
      </c>
      <c r="H161" s="19" t="s">
        <v>47</v>
      </c>
      <c r="I161" s="19" t="s">
        <v>364</v>
      </c>
    </row>
    <row r="162" spans="1:9">
      <c r="A162" s="17" t="s">
        <v>169</v>
      </c>
      <c r="B162" s="17" t="s">
        <v>170</v>
      </c>
      <c r="C162" s="18">
        <v>46112</v>
      </c>
      <c r="D162" s="19">
        <v>31.33</v>
      </c>
      <c r="E162" s="18">
        <v>46115</v>
      </c>
      <c r="F162" s="19">
        <v>29.75</v>
      </c>
      <c r="G162" s="20">
        <f t="shared" ref="G162:G167" si="15">F162/D162-1</f>
        <v>-0.0504308969039259</v>
      </c>
      <c r="H162" s="19" t="s">
        <v>47</v>
      </c>
      <c r="I162" s="19" t="s">
        <v>365</v>
      </c>
    </row>
    <row r="163" spans="1:9">
      <c r="A163" s="17" t="s">
        <v>366</v>
      </c>
      <c r="B163" s="17" t="s">
        <v>367</v>
      </c>
      <c r="C163" s="18">
        <v>46112</v>
      </c>
      <c r="D163" s="19">
        <v>27.39</v>
      </c>
      <c r="E163" s="18">
        <v>46115</v>
      </c>
      <c r="F163" s="19">
        <v>25.65</v>
      </c>
      <c r="G163" s="20">
        <f t="shared" si="15"/>
        <v>-0.063526834611172</v>
      </c>
      <c r="H163" s="19" t="s">
        <v>47</v>
      </c>
      <c r="I163" s="19" t="s">
        <v>365</v>
      </c>
    </row>
    <row r="164" spans="1:9">
      <c r="A164" s="17" t="s">
        <v>329</v>
      </c>
      <c r="B164" s="17" t="s">
        <v>330</v>
      </c>
      <c r="C164" s="18">
        <v>46121</v>
      </c>
      <c r="D164" s="19">
        <v>13.52</v>
      </c>
      <c r="E164" s="18">
        <v>46132</v>
      </c>
      <c r="F164" s="19">
        <v>13.45</v>
      </c>
      <c r="G164" s="20">
        <f t="shared" si="15"/>
        <v>-0.00517751479289941</v>
      </c>
      <c r="H164" s="19" t="s">
        <v>47</v>
      </c>
      <c r="I164" s="19" t="s">
        <v>364</v>
      </c>
    </row>
    <row r="165" spans="1:9">
      <c r="A165" s="17" t="s">
        <v>285</v>
      </c>
      <c r="B165" s="17" t="s">
        <v>286</v>
      </c>
      <c r="C165" s="18">
        <v>46121</v>
      </c>
      <c r="D165" s="19">
        <v>12.95</v>
      </c>
      <c r="E165" s="18">
        <v>46132</v>
      </c>
      <c r="F165" s="19">
        <v>12.88</v>
      </c>
      <c r="G165" s="20">
        <f t="shared" si="15"/>
        <v>-0.00540540540540524</v>
      </c>
      <c r="H165" s="19" t="s">
        <v>47</v>
      </c>
      <c r="I165" s="19" t="s">
        <v>364</v>
      </c>
    </row>
    <row r="166" spans="1:9">
      <c r="A166" s="17" t="s">
        <v>304</v>
      </c>
      <c r="B166" s="17" t="s">
        <v>305</v>
      </c>
      <c r="C166" s="18">
        <v>46121</v>
      </c>
      <c r="D166" s="19">
        <v>2.71</v>
      </c>
      <c r="E166" s="18">
        <v>46132</v>
      </c>
      <c r="F166" s="19">
        <v>2.79</v>
      </c>
      <c r="G166" s="20">
        <f t="shared" si="15"/>
        <v>0.0295202952029521</v>
      </c>
      <c r="H166" s="19" t="s">
        <v>47</v>
      </c>
      <c r="I166" s="19" t="s">
        <v>368</v>
      </c>
    </row>
    <row r="167" spans="1:9">
      <c r="A167" s="17" t="s">
        <v>369</v>
      </c>
      <c r="B167" s="17" t="s">
        <v>370</v>
      </c>
      <c r="C167" s="18">
        <v>46121</v>
      </c>
      <c r="D167" s="19">
        <v>4.45</v>
      </c>
      <c r="E167" s="18">
        <v>46134</v>
      </c>
      <c r="F167" s="19">
        <v>4.51</v>
      </c>
      <c r="G167" s="20">
        <f t="shared" si="15"/>
        <v>0.0134831460674156</v>
      </c>
      <c r="H167" s="19" t="s">
        <v>47</v>
      </c>
      <c r="I167" s="19" t="s">
        <v>364</v>
      </c>
    </row>
    <row r="168" spans="1:9">
      <c r="A168" s="17" t="s">
        <v>371</v>
      </c>
      <c r="B168" s="17" t="s">
        <v>372</v>
      </c>
      <c r="C168" s="18">
        <v>46114</v>
      </c>
      <c r="D168" s="19">
        <v>2.57</v>
      </c>
      <c r="E168" s="18">
        <v>46115</v>
      </c>
      <c r="F168" s="19">
        <v>2.5</v>
      </c>
      <c r="G168" s="20">
        <f t="shared" ref="G168:G171" si="16">F168/D168-1</f>
        <v>-0.027237354085603</v>
      </c>
      <c r="H168" s="19" t="s">
        <v>47</v>
      </c>
      <c r="I168" s="19" t="s">
        <v>373</v>
      </c>
    </row>
    <row r="169" spans="1:9">
      <c r="A169" s="17" t="s">
        <v>374</v>
      </c>
      <c r="B169" s="17" t="s">
        <v>375</v>
      </c>
      <c r="C169" s="18">
        <v>46112</v>
      </c>
      <c r="D169" s="19">
        <v>14.67</v>
      </c>
      <c r="E169" s="18">
        <v>46132</v>
      </c>
      <c r="F169" s="19">
        <v>14.94</v>
      </c>
      <c r="G169" s="20">
        <f t="shared" si="16"/>
        <v>0.01840490797546</v>
      </c>
      <c r="H169" s="19" t="s">
        <v>47</v>
      </c>
      <c r="I169" s="19" t="s">
        <v>363</v>
      </c>
    </row>
    <row r="170" spans="1:9">
      <c r="A170" s="17" t="s">
        <v>376</v>
      </c>
      <c r="B170" s="17" t="s">
        <v>377</v>
      </c>
      <c r="C170" s="19"/>
      <c r="D170" s="19"/>
      <c r="E170" s="19"/>
      <c r="F170" s="19"/>
      <c r="G170" s="19"/>
      <c r="H170" s="19" t="s">
        <v>47</v>
      </c>
      <c r="I170" s="19" t="s">
        <v>338</v>
      </c>
    </row>
    <row r="171" spans="1:9">
      <c r="A171" s="17" t="s">
        <v>339</v>
      </c>
      <c r="B171" s="17" t="s">
        <v>340</v>
      </c>
      <c r="C171" s="18">
        <v>46114</v>
      </c>
      <c r="D171" s="19">
        <v>37.35</v>
      </c>
      <c r="E171" s="18">
        <v>46115</v>
      </c>
      <c r="F171" s="19">
        <v>36.42</v>
      </c>
      <c r="G171" s="20">
        <f t="shared" si="16"/>
        <v>-0.0248995983935743</v>
      </c>
      <c r="H171" s="19" t="s">
        <v>47</v>
      </c>
      <c r="I171" s="19" t="s">
        <v>378</v>
      </c>
    </row>
    <row r="172" spans="1:9">
      <c r="A172" s="17" t="s">
        <v>302</v>
      </c>
      <c r="B172" s="17" t="s">
        <v>303</v>
      </c>
      <c r="C172" s="18">
        <v>46112</v>
      </c>
      <c r="D172" s="19">
        <v>10.26</v>
      </c>
      <c r="E172" s="18">
        <v>46120</v>
      </c>
      <c r="F172" s="19">
        <v>11.03</v>
      </c>
      <c r="G172" s="20">
        <f t="shared" ref="G172:G180" si="17">F172/D172-1</f>
        <v>0.0750487329434697</v>
      </c>
      <c r="H172" s="19" t="s">
        <v>47</v>
      </c>
      <c r="I172" s="19" t="s">
        <v>379</v>
      </c>
    </row>
    <row r="173" spans="1:9">
      <c r="A173" s="17" t="s">
        <v>380</v>
      </c>
      <c r="B173" s="17" t="s">
        <v>381</v>
      </c>
      <c r="C173" s="18">
        <v>46114</v>
      </c>
      <c r="D173" s="19">
        <v>12.77</v>
      </c>
      <c r="E173" s="18">
        <v>46115</v>
      </c>
      <c r="F173" s="19">
        <v>12.55</v>
      </c>
      <c r="G173" s="20">
        <f t="shared" si="17"/>
        <v>-0.0172278778386843</v>
      </c>
      <c r="H173" s="19" t="s">
        <v>47</v>
      </c>
      <c r="I173" s="19" t="s">
        <v>382</v>
      </c>
    </row>
    <row r="174" spans="1:9">
      <c r="A174" s="17" t="s">
        <v>383</v>
      </c>
      <c r="B174" s="17" t="s">
        <v>384</v>
      </c>
      <c r="C174" s="18">
        <v>46114</v>
      </c>
      <c r="D174" s="19">
        <v>12.3</v>
      </c>
      <c r="E174" s="18">
        <v>46115</v>
      </c>
      <c r="F174" s="19">
        <v>11.91</v>
      </c>
      <c r="G174" s="20">
        <f t="shared" si="17"/>
        <v>-0.0317073170731708</v>
      </c>
      <c r="H174" s="19" t="s">
        <v>47</v>
      </c>
      <c r="I174" s="19" t="s">
        <v>378</v>
      </c>
    </row>
    <row r="175" spans="1:9">
      <c r="A175" s="17" t="s">
        <v>214</v>
      </c>
      <c r="B175" s="17" t="s">
        <v>215</v>
      </c>
      <c r="C175" s="18">
        <v>46112</v>
      </c>
      <c r="D175" s="19">
        <v>4.03</v>
      </c>
      <c r="E175" s="18">
        <v>46115</v>
      </c>
      <c r="F175" s="19">
        <v>3.9</v>
      </c>
      <c r="G175" s="20">
        <f t="shared" si="17"/>
        <v>-0.0322580645161291</v>
      </c>
      <c r="H175" s="19" t="s">
        <v>47</v>
      </c>
      <c r="I175" s="19" t="s">
        <v>365</v>
      </c>
    </row>
    <row r="176" spans="1:9">
      <c r="A176" s="17" t="s">
        <v>385</v>
      </c>
      <c r="B176" s="17" t="s">
        <v>386</v>
      </c>
      <c r="C176" s="18">
        <v>46112</v>
      </c>
      <c r="D176" s="19">
        <v>11.09</v>
      </c>
      <c r="E176" s="18">
        <v>46115</v>
      </c>
      <c r="F176" s="19">
        <v>10.76</v>
      </c>
      <c r="G176" s="20">
        <f t="shared" si="17"/>
        <v>-0.0297565374211001</v>
      </c>
      <c r="H176" s="19" t="s">
        <v>47</v>
      </c>
      <c r="I176" s="19" t="s">
        <v>387</v>
      </c>
    </row>
    <row r="177" spans="1:9">
      <c r="A177" s="17" t="s">
        <v>333</v>
      </c>
      <c r="B177" s="17" t="s">
        <v>334</v>
      </c>
      <c r="C177" s="18">
        <v>46111</v>
      </c>
      <c r="D177" s="19">
        <v>13.79</v>
      </c>
      <c r="E177" s="18">
        <v>46115</v>
      </c>
      <c r="F177" s="19">
        <v>13.81</v>
      </c>
      <c r="G177" s="20">
        <f t="shared" si="17"/>
        <v>0.0014503263234229</v>
      </c>
      <c r="H177" s="19" t="s">
        <v>47</v>
      </c>
      <c r="I177" s="19" t="s">
        <v>388</v>
      </c>
    </row>
    <row r="178" spans="1:9">
      <c r="A178" s="17" t="s">
        <v>389</v>
      </c>
      <c r="B178" s="17" t="s">
        <v>390</v>
      </c>
      <c r="C178" s="18">
        <v>46114</v>
      </c>
      <c r="D178" s="19">
        <v>14.51</v>
      </c>
      <c r="E178" s="18">
        <v>46115</v>
      </c>
      <c r="F178" s="19">
        <v>13.78</v>
      </c>
      <c r="G178" s="20">
        <f t="shared" si="17"/>
        <v>-0.0503101309441765</v>
      </c>
      <c r="H178" s="19" t="s">
        <v>47</v>
      </c>
      <c r="I178" s="19" t="s">
        <v>373</v>
      </c>
    </row>
    <row r="179" spans="1:9">
      <c r="A179" s="17" t="s">
        <v>310</v>
      </c>
      <c r="B179" s="17" t="s">
        <v>311</v>
      </c>
      <c r="C179" s="18">
        <v>46114</v>
      </c>
      <c r="D179" s="19">
        <v>38.85</v>
      </c>
      <c r="E179" s="18">
        <v>46115</v>
      </c>
      <c r="F179" s="19">
        <v>37.25</v>
      </c>
      <c r="G179" s="20">
        <f t="shared" si="17"/>
        <v>-0.0411840411840412</v>
      </c>
      <c r="H179" s="19" t="s">
        <v>47</v>
      </c>
      <c r="I179" s="19" t="s">
        <v>354</v>
      </c>
    </row>
    <row r="180" spans="1:9">
      <c r="A180" s="17" t="s">
        <v>391</v>
      </c>
      <c r="B180" s="17" t="s">
        <v>392</v>
      </c>
      <c r="C180" s="18">
        <v>46121</v>
      </c>
      <c r="D180" s="19">
        <v>13.05</v>
      </c>
      <c r="E180" s="18">
        <v>46135</v>
      </c>
      <c r="F180" s="19">
        <v>15.07</v>
      </c>
      <c r="G180" s="20">
        <f t="shared" si="17"/>
        <v>0.154789272030651</v>
      </c>
      <c r="H180" s="19" t="s">
        <v>47</v>
      </c>
      <c r="I180" s="19" t="s">
        <v>364</v>
      </c>
    </row>
    <row r="181" spans="1:9">
      <c r="A181" s="17" t="s">
        <v>260</v>
      </c>
      <c r="B181" s="17" t="s">
        <v>261</v>
      </c>
      <c r="C181" s="19"/>
      <c r="D181" s="19"/>
      <c r="E181" s="19"/>
      <c r="F181" s="19"/>
      <c r="G181" s="19"/>
      <c r="H181" s="17" t="s">
        <v>111</v>
      </c>
      <c r="I181" s="19" t="s">
        <v>338</v>
      </c>
    </row>
    <row r="182" spans="1:9">
      <c r="A182" s="17" t="s">
        <v>393</v>
      </c>
      <c r="B182" s="17" t="s">
        <v>394</v>
      </c>
      <c r="C182" s="18">
        <v>46121</v>
      </c>
      <c r="D182" s="19">
        <v>3.9</v>
      </c>
      <c r="E182" s="18">
        <v>46132</v>
      </c>
      <c r="F182" s="19">
        <v>3.93</v>
      </c>
      <c r="G182" s="20">
        <f t="shared" ref="G182:G189" si="18">F182/D182-1</f>
        <v>0.00769230769230766</v>
      </c>
      <c r="H182" s="17" t="s">
        <v>111</v>
      </c>
      <c r="I182" s="19" t="s">
        <v>368</v>
      </c>
    </row>
    <row r="183" spans="1:9">
      <c r="A183" s="17" t="s">
        <v>296</v>
      </c>
      <c r="B183" s="17" t="s">
        <v>297</v>
      </c>
      <c r="C183" s="19"/>
      <c r="D183" s="19"/>
      <c r="E183" s="19"/>
      <c r="F183" s="19"/>
      <c r="G183" s="19"/>
      <c r="H183" s="17" t="s">
        <v>111</v>
      </c>
      <c r="I183" s="19" t="s">
        <v>338</v>
      </c>
    </row>
    <row r="184" spans="1:9">
      <c r="A184" s="17" t="s">
        <v>395</v>
      </c>
      <c r="B184" s="17" t="s">
        <v>396</v>
      </c>
      <c r="C184" s="18">
        <v>46112</v>
      </c>
      <c r="D184" s="19">
        <v>92.7</v>
      </c>
      <c r="E184" s="18">
        <v>46115</v>
      </c>
      <c r="F184" s="19">
        <v>88</v>
      </c>
      <c r="G184" s="20">
        <f t="shared" si="18"/>
        <v>-0.0507011866235167</v>
      </c>
      <c r="H184" s="17" t="s">
        <v>111</v>
      </c>
      <c r="I184" s="19" t="s">
        <v>397</v>
      </c>
    </row>
    <row r="185" spans="1:9">
      <c r="A185" s="17" t="s">
        <v>398</v>
      </c>
      <c r="B185" s="17" t="s">
        <v>399</v>
      </c>
      <c r="C185" s="18">
        <v>46126</v>
      </c>
      <c r="D185" s="19">
        <v>17.59</v>
      </c>
      <c r="E185" s="18">
        <v>46136</v>
      </c>
      <c r="F185" s="19">
        <v>17.39</v>
      </c>
      <c r="G185" s="20">
        <f t="shared" si="18"/>
        <v>-0.0113700966458214</v>
      </c>
      <c r="H185" s="17" t="s">
        <v>55</v>
      </c>
      <c r="I185" s="19" t="s">
        <v>400</v>
      </c>
    </row>
    <row r="186" spans="1:9">
      <c r="A186" s="17" t="s">
        <v>312</v>
      </c>
      <c r="B186" s="17" t="s">
        <v>313</v>
      </c>
      <c r="C186" s="18">
        <v>46134</v>
      </c>
      <c r="D186" s="19">
        <v>6.08</v>
      </c>
      <c r="E186" s="18">
        <v>46142</v>
      </c>
      <c r="F186" s="19">
        <v>6.17</v>
      </c>
      <c r="G186" s="20">
        <f t="shared" si="18"/>
        <v>0.0148026315789473</v>
      </c>
      <c r="H186" s="19" t="s">
        <v>47</v>
      </c>
      <c r="I186" s="19" t="s">
        <v>401</v>
      </c>
    </row>
    <row r="187" spans="1:9">
      <c r="A187" s="17" t="s">
        <v>346</v>
      </c>
      <c r="B187" s="17" t="s">
        <v>347</v>
      </c>
      <c r="C187" s="18">
        <v>46142</v>
      </c>
      <c r="D187" s="19">
        <v>8.27</v>
      </c>
      <c r="E187" s="18">
        <v>46155</v>
      </c>
      <c r="F187" s="19">
        <v>8.29</v>
      </c>
      <c r="G187" s="20">
        <f t="shared" si="18"/>
        <v>0.00241837968561054</v>
      </c>
      <c r="H187" s="19" t="s">
        <v>47</v>
      </c>
      <c r="I187" s="19" t="s">
        <v>402</v>
      </c>
    </row>
    <row r="188" spans="1:9">
      <c r="A188" s="17" t="s">
        <v>260</v>
      </c>
      <c r="B188" s="17" t="s">
        <v>261</v>
      </c>
      <c r="C188" s="18">
        <v>46148</v>
      </c>
      <c r="D188" s="19">
        <v>15.24</v>
      </c>
      <c r="E188" s="18">
        <v>46155</v>
      </c>
      <c r="F188" s="19">
        <v>15.6</v>
      </c>
      <c r="G188" s="20">
        <f t="shared" si="18"/>
        <v>0.0236220472440944</v>
      </c>
      <c r="H188" s="17" t="s">
        <v>111</v>
      </c>
      <c r="I188" s="19" t="s">
        <v>403</v>
      </c>
    </row>
    <row r="189" spans="1:9">
      <c r="A189" s="17" t="s">
        <v>404</v>
      </c>
      <c r="B189" s="17" t="s">
        <v>405</v>
      </c>
      <c r="C189" s="18">
        <v>46175</v>
      </c>
      <c r="D189" s="19">
        <v>36.79</v>
      </c>
      <c r="E189" s="18">
        <v>46177</v>
      </c>
      <c r="F189" s="19">
        <v>35.45</v>
      </c>
      <c r="G189" s="20">
        <f t="shared" si="18"/>
        <v>-0.0364229410165805</v>
      </c>
      <c r="H189" s="17" t="s">
        <v>47</v>
      </c>
      <c r="I189" s="19" t="s">
        <v>406</v>
      </c>
    </row>
    <row r="190" spans="1:9">
      <c r="A190" s="17" t="s">
        <v>304</v>
      </c>
      <c r="B190" s="17" t="s">
        <v>305</v>
      </c>
      <c r="C190" s="19"/>
      <c r="D190" s="19"/>
      <c r="E190" s="19"/>
      <c r="F190" s="19"/>
      <c r="G190" s="19"/>
      <c r="H190" s="17" t="s">
        <v>111</v>
      </c>
      <c r="I190" s="19" t="s">
        <v>338</v>
      </c>
    </row>
    <row r="191" spans="1:9">
      <c r="A191" s="17" t="s">
        <v>374</v>
      </c>
      <c r="B191" s="17" t="s">
        <v>375</v>
      </c>
      <c r="C191" s="18">
        <v>46154</v>
      </c>
      <c r="D191" s="19">
        <v>14.84</v>
      </c>
      <c r="E191" s="18">
        <v>46155</v>
      </c>
      <c r="F191" s="19">
        <v>14.47</v>
      </c>
      <c r="G191" s="20">
        <f>F191/D191-1</f>
        <v>-0.024932614555256</v>
      </c>
      <c r="H191" s="19" t="s">
        <v>47</v>
      </c>
      <c r="I191" s="19" t="s">
        <v>407</v>
      </c>
    </row>
    <row r="192" spans="1:9">
      <c r="A192" s="17" t="s">
        <v>408</v>
      </c>
      <c r="B192" s="17" t="s">
        <v>409</v>
      </c>
      <c r="C192" s="18">
        <v>46169</v>
      </c>
      <c r="D192" s="19">
        <v>21.01</v>
      </c>
      <c r="E192" s="18">
        <v>46177</v>
      </c>
      <c r="F192" s="19">
        <v>20.73</v>
      </c>
      <c r="G192" s="20">
        <f>F192/D192-1</f>
        <v>-0.0133269871489767</v>
      </c>
      <c r="H192" s="19" t="s">
        <v>47</v>
      </c>
      <c r="I192" s="19" t="s">
        <v>410</v>
      </c>
    </row>
    <row r="193" spans="1:9">
      <c r="A193" s="17" t="s">
        <v>411</v>
      </c>
      <c r="B193" s="17" t="s">
        <v>412</v>
      </c>
      <c r="C193" s="18"/>
      <c r="D193" s="19"/>
      <c r="E193" s="19"/>
      <c r="F193" s="19"/>
      <c r="G193" s="19"/>
      <c r="H193" s="19" t="s">
        <v>47</v>
      </c>
      <c r="I193" s="19" t="s">
        <v>413</v>
      </c>
    </row>
    <row r="194" spans="1:9">
      <c r="A194" s="17" t="s">
        <v>234</v>
      </c>
      <c r="B194" s="17" t="s">
        <v>235</v>
      </c>
      <c r="C194" s="18">
        <v>46148</v>
      </c>
      <c r="D194" s="19">
        <v>3.43</v>
      </c>
      <c r="E194" s="18">
        <v>46154</v>
      </c>
      <c r="F194" s="19">
        <v>3.4</v>
      </c>
      <c r="G194" s="20">
        <f t="shared" ref="G194:G200" si="19">F194/D194-1</f>
        <v>-0.00874635568513127</v>
      </c>
      <c r="H194" s="19" t="s">
        <v>47</v>
      </c>
      <c r="I194" s="19" t="s">
        <v>414</v>
      </c>
    </row>
    <row r="195" spans="1:9">
      <c r="A195" s="17" t="s">
        <v>415</v>
      </c>
      <c r="B195" s="17" t="s">
        <v>416</v>
      </c>
      <c r="C195" s="18">
        <v>46154</v>
      </c>
      <c r="D195" s="19">
        <v>16.53</v>
      </c>
      <c r="E195" s="18">
        <v>46160</v>
      </c>
      <c r="F195" s="19">
        <v>16.91</v>
      </c>
      <c r="G195" s="20">
        <f t="shared" si="19"/>
        <v>0.0229885057471264</v>
      </c>
      <c r="H195" s="19" t="s">
        <v>47</v>
      </c>
      <c r="I195" s="19" t="s">
        <v>417</v>
      </c>
    </row>
    <row r="196" spans="1:9">
      <c r="A196" s="17" t="s">
        <v>418</v>
      </c>
      <c r="B196" s="17" t="s">
        <v>419</v>
      </c>
      <c r="C196" s="18">
        <v>46142</v>
      </c>
      <c r="D196" s="19">
        <v>8.26</v>
      </c>
      <c r="E196" s="18">
        <v>46149</v>
      </c>
      <c r="F196" s="19">
        <v>7.81</v>
      </c>
      <c r="G196" s="20">
        <f t="shared" si="19"/>
        <v>-0.0544794188861986</v>
      </c>
      <c r="H196" s="19" t="s">
        <v>47</v>
      </c>
      <c r="I196" s="19" t="s">
        <v>420</v>
      </c>
    </row>
    <row r="197" spans="1:9">
      <c r="A197" s="17" t="s">
        <v>421</v>
      </c>
      <c r="B197" s="17" t="s">
        <v>422</v>
      </c>
      <c r="C197" s="18">
        <v>46154</v>
      </c>
      <c r="D197" s="19">
        <v>30.18</v>
      </c>
      <c r="E197" s="18">
        <v>46155</v>
      </c>
      <c r="F197" s="19">
        <v>29.57</v>
      </c>
      <c r="G197" s="20">
        <f t="shared" si="19"/>
        <v>-0.0202120609675281</v>
      </c>
      <c r="H197" s="19" t="s">
        <v>47</v>
      </c>
      <c r="I197" s="19" t="s">
        <v>417</v>
      </c>
    </row>
    <row r="198" spans="1:9">
      <c r="A198" s="17" t="s">
        <v>423</v>
      </c>
      <c r="B198" s="17" t="s">
        <v>424</v>
      </c>
      <c r="C198" s="18">
        <v>46153</v>
      </c>
      <c r="D198" s="19">
        <v>20.5</v>
      </c>
      <c r="E198" s="18">
        <v>46154</v>
      </c>
      <c r="F198" s="19">
        <v>19.91</v>
      </c>
      <c r="G198" s="20">
        <f t="shared" ref="G198:G207" si="20">F198/D198-1</f>
        <v>-0.0287804878048781</v>
      </c>
      <c r="H198" s="19" t="s">
        <v>47</v>
      </c>
      <c r="I198" s="19" t="s">
        <v>425</v>
      </c>
    </row>
    <row r="199" spans="1:9">
      <c r="A199" s="17" t="s">
        <v>426</v>
      </c>
      <c r="B199" s="17" t="s">
        <v>427</v>
      </c>
      <c r="C199" s="18">
        <v>46150</v>
      </c>
      <c r="D199" s="19">
        <v>33.58</v>
      </c>
      <c r="E199" s="18">
        <v>46156</v>
      </c>
      <c r="F199" s="19">
        <v>32.96</v>
      </c>
      <c r="G199" s="20">
        <f t="shared" si="19"/>
        <v>-0.0184633710541988</v>
      </c>
      <c r="H199" s="19" t="s">
        <v>47</v>
      </c>
      <c r="I199" s="19" t="s">
        <v>428</v>
      </c>
    </row>
    <row r="200" spans="1:9">
      <c r="A200" s="17" t="s">
        <v>211</v>
      </c>
      <c r="B200" s="17" t="s">
        <v>212</v>
      </c>
      <c r="C200" s="18">
        <v>46170</v>
      </c>
      <c r="D200" s="19">
        <v>8.6</v>
      </c>
      <c r="E200" s="18">
        <v>46177</v>
      </c>
      <c r="F200" s="19">
        <v>8.39</v>
      </c>
      <c r="G200" s="20">
        <f t="shared" si="19"/>
        <v>-0.0244186046511626</v>
      </c>
      <c r="H200" s="19" t="s">
        <v>47</v>
      </c>
      <c r="I200" s="19" t="s">
        <v>429</v>
      </c>
    </row>
    <row r="201" spans="1:9">
      <c r="A201" s="31" t="s">
        <v>430</v>
      </c>
      <c r="B201" s="31" t="s">
        <v>431</v>
      </c>
      <c r="C201" s="33"/>
      <c r="D201" s="33"/>
      <c r="E201" s="33"/>
      <c r="F201" s="33"/>
      <c r="G201" s="33"/>
      <c r="H201" s="33" t="s">
        <v>47</v>
      </c>
      <c r="I201" s="33"/>
    </row>
    <row r="202" spans="1:9">
      <c r="A202" s="17" t="s">
        <v>411</v>
      </c>
      <c r="B202" s="17" t="s">
        <v>412</v>
      </c>
      <c r="C202" s="18">
        <v>46154</v>
      </c>
      <c r="D202" s="19">
        <v>5.18</v>
      </c>
      <c r="E202" s="18">
        <v>46155</v>
      </c>
      <c r="F202" s="19">
        <v>5.11</v>
      </c>
      <c r="G202" s="20">
        <f t="shared" si="20"/>
        <v>-0.0135135135135134</v>
      </c>
      <c r="H202" s="19" t="s">
        <v>47</v>
      </c>
      <c r="I202" s="19" t="s">
        <v>417</v>
      </c>
    </row>
    <row r="203" spans="1:9">
      <c r="A203" s="17" t="s">
        <v>296</v>
      </c>
      <c r="B203" s="17" t="s">
        <v>297</v>
      </c>
      <c r="C203" s="18">
        <v>46154</v>
      </c>
      <c r="D203" s="19">
        <v>28.36</v>
      </c>
      <c r="E203" s="18">
        <v>46156</v>
      </c>
      <c r="F203" s="19">
        <v>27.07</v>
      </c>
      <c r="G203" s="20">
        <f t="shared" si="20"/>
        <v>-0.0454866008462623</v>
      </c>
      <c r="H203" s="17" t="s">
        <v>111</v>
      </c>
      <c r="I203" s="19" t="s">
        <v>432</v>
      </c>
    </row>
    <row r="204" spans="1:9">
      <c r="A204" s="17" t="s">
        <v>380</v>
      </c>
      <c r="B204" s="17" t="s">
        <v>381</v>
      </c>
      <c r="C204" s="18">
        <v>46157</v>
      </c>
      <c r="D204" s="19">
        <v>12.18</v>
      </c>
      <c r="E204" s="18">
        <v>46160</v>
      </c>
      <c r="F204" s="19">
        <v>11.37</v>
      </c>
      <c r="G204" s="20">
        <f t="shared" si="20"/>
        <v>-0.0665024630541873</v>
      </c>
      <c r="H204" s="19" t="s">
        <v>47</v>
      </c>
      <c r="I204" s="19" t="s">
        <v>433</v>
      </c>
    </row>
    <row r="205" spans="1:9">
      <c r="A205" s="17" t="s">
        <v>395</v>
      </c>
      <c r="B205" s="17" t="s">
        <v>396</v>
      </c>
      <c r="C205" s="18">
        <v>46167</v>
      </c>
      <c r="D205" s="19">
        <v>69.89</v>
      </c>
      <c r="E205" s="18">
        <v>46171</v>
      </c>
      <c r="F205" s="19">
        <v>83.63</v>
      </c>
      <c r="G205" s="20">
        <f t="shared" si="20"/>
        <v>0.196594648733724</v>
      </c>
      <c r="H205" s="17" t="s">
        <v>111</v>
      </c>
      <c r="I205" s="19" t="s">
        <v>434</v>
      </c>
    </row>
    <row r="206" spans="1:9">
      <c r="A206" s="17" t="s">
        <v>182</v>
      </c>
      <c r="B206" s="17" t="s">
        <v>183</v>
      </c>
      <c r="C206" s="18">
        <v>46174</v>
      </c>
      <c r="D206" s="19">
        <v>21.84</v>
      </c>
      <c r="E206" s="18">
        <v>46177</v>
      </c>
      <c r="F206" s="19">
        <v>21.16</v>
      </c>
      <c r="G206" s="20">
        <f t="shared" si="20"/>
        <v>-0.0311355311355311</v>
      </c>
      <c r="H206" s="19" t="s">
        <v>47</v>
      </c>
      <c r="I206" s="19" t="s">
        <v>435</v>
      </c>
    </row>
    <row r="207" spans="1:9">
      <c r="A207" s="17" t="s">
        <v>105</v>
      </c>
      <c r="B207" s="17" t="s">
        <v>106</v>
      </c>
      <c r="C207" s="18">
        <v>46167</v>
      </c>
      <c r="D207" s="19">
        <v>4.15</v>
      </c>
      <c r="E207" s="18">
        <v>46178</v>
      </c>
      <c r="F207" s="19">
        <v>4.35</v>
      </c>
      <c r="G207" s="20">
        <f t="shared" si="20"/>
        <v>0.0481927710843373</v>
      </c>
      <c r="H207" s="19" t="s">
        <v>47</v>
      </c>
      <c r="I207" s="19" t="s">
        <v>436</v>
      </c>
    </row>
    <row r="208" spans="1:9">
      <c r="A208" s="31" t="s">
        <v>421</v>
      </c>
      <c r="B208" s="31" t="s">
        <v>422</v>
      </c>
      <c r="C208" s="33"/>
      <c r="D208" s="33"/>
      <c r="E208" s="33"/>
      <c r="F208" s="33"/>
      <c r="G208" s="33"/>
      <c r="H208" s="33" t="s">
        <v>47</v>
      </c>
      <c r="I208" s="33"/>
    </row>
    <row r="209" spans="1:9">
      <c r="A209" s="17" t="s">
        <v>423</v>
      </c>
      <c r="B209" s="17" t="s">
        <v>424</v>
      </c>
      <c r="C209" s="18">
        <v>46175</v>
      </c>
      <c r="D209" s="19">
        <v>17.9</v>
      </c>
      <c r="E209" s="18">
        <v>46176</v>
      </c>
      <c r="F209" s="19">
        <v>16.99</v>
      </c>
      <c r="G209" s="20">
        <f>F209/D209-1</f>
        <v>-0.0508379888268157</v>
      </c>
      <c r="H209" s="19" t="s">
        <v>47</v>
      </c>
      <c r="I209" s="19" t="s">
        <v>406</v>
      </c>
    </row>
    <row r="210" spans="1:9">
      <c r="A210" s="17" t="s">
        <v>327</v>
      </c>
      <c r="B210" s="17" t="s">
        <v>328</v>
      </c>
      <c r="C210" s="18">
        <v>46162</v>
      </c>
      <c r="D210" s="19">
        <v>19.75</v>
      </c>
      <c r="E210" s="18">
        <v>46167</v>
      </c>
      <c r="F210" s="19">
        <v>19.29</v>
      </c>
      <c r="G210" s="20">
        <f t="shared" ref="G210:G213" si="21">F210/D210-1</f>
        <v>-0.0232911392405064</v>
      </c>
      <c r="H210" s="17" t="s">
        <v>30</v>
      </c>
      <c r="I210" s="19" t="s">
        <v>437</v>
      </c>
    </row>
    <row r="211" spans="1:9">
      <c r="A211" s="17" t="s">
        <v>339</v>
      </c>
      <c r="B211" s="17" t="s">
        <v>340</v>
      </c>
      <c r="C211" s="19"/>
      <c r="D211" s="19"/>
      <c r="E211" s="19"/>
      <c r="F211" s="19"/>
      <c r="G211" s="19"/>
      <c r="H211" s="19" t="s">
        <v>47</v>
      </c>
      <c r="I211" s="19" t="s">
        <v>338</v>
      </c>
    </row>
    <row r="212" spans="1:9">
      <c r="A212" s="17" t="s">
        <v>438</v>
      </c>
      <c r="B212" s="17" t="s">
        <v>362</v>
      </c>
      <c r="C212" s="18">
        <v>46162</v>
      </c>
      <c r="D212" s="19">
        <v>9.52</v>
      </c>
      <c r="E212" s="18">
        <v>46164</v>
      </c>
      <c r="F212" s="19">
        <v>9.19</v>
      </c>
      <c r="G212" s="20">
        <f t="shared" si="21"/>
        <v>-0.0346638655462185</v>
      </c>
      <c r="H212" s="19" t="s">
        <v>47</v>
      </c>
      <c r="I212" s="19" t="s">
        <v>439</v>
      </c>
    </row>
    <row r="213" spans="1:9">
      <c r="A213" s="17" t="s">
        <v>383</v>
      </c>
      <c r="B213" s="17" t="s">
        <v>384</v>
      </c>
      <c r="C213" s="18">
        <v>46174</v>
      </c>
      <c r="D213" s="19">
        <v>11.12</v>
      </c>
      <c r="E213" s="18">
        <v>46176</v>
      </c>
      <c r="F213" s="19">
        <v>10.77</v>
      </c>
      <c r="G213" s="20">
        <f t="shared" si="21"/>
        <v>-0.0314748201438848</v>
      </c>
      <c r="H213" s="19" t="s">
        <v>47</v>
      </c>
      <c r="I213" s="19" t="s">
        <v>440</v>
      </c>
    </row>
    <row r="214" spans="1:9">
      <c r="A214" s="31" t="s">
        <v>253</v>
      </c>
      <c r="B214" s="31" t="s">
        <v>254</v>
      </c>
      <c r="C214" s="33"/>
      <c r="D214" s="33"/>
      <c r="E214" s="33"/>
      <c r="F214" s="33"/>
      <c r="G214" s="33"/>
      <c r="H214" s="33" t="s">
        <v>47</v>
      </c>
      <c r="I214" s="33"/>
    </row>
    <row r="215" spans="1:9">
      <c r="A215" s="31" t="s">
        <v>389</v>
      </c>
      <c r="B215" s="31" t="s">
        <v>390</v>
      </c>
      <c r="C215" s="33"/>
      <c r="D215" s="33"/>
      <c r="E215" s="33"/>
      <c r="F215" s="33"/>
      <c r="G215" s="33"/>
      <c r="H215" s="33" t="s">
        <v>47</v>
      </c>
      <c r="I215" s="33"/>
    </row>
    <row r="216" spans="1:9">
      <c r="A216" s="17" t="s">
        <v>441</v>
      </c>
      <c r="B216" s="17" t="s">
        <v>442</v>
      </c>
      <c r="C216" s="18">
        <v>46171</v>
      </c>
      <c r="D216" s="19">
        <v>2.4</v>
      </c>
      <c r="E216" s="18">
        <v>46176</v>
      </c>
      <c r="F216" s="19">
        <v>2.35</v>
      </c>
      <c r="G216" s="20">
        <f t="shared" ref="G216:G220" si="22">F216/D216-1</f>
        <v>-0.0208333333333333</v>
      </c>
      <c r="H216" s="17" t="s">
        <v>111</v>
      </c>
      <c r="I216" s="19" t="s">
        <v>443</v>
      </c>
    </row>
    <row r="217" spans="1:9">
      <c r="A217" s="17" t="s">
        <v>444</v>
      </c>
      <c r="B217" s="17" t="s">
        <v>445</v>
      </c>
      <c r="C217" s="18">
        <v>46175</v>
      </c>
      <c r="D217" s="19">
        <v>6.83</v>
      </c>
      <c r="E217" s="18">
        <v>46176</v>
      </c>
      <c r="F217" s="19">
        <v>6.63</v>
      </c>
      <c r="G217" s="20">
        <f t="shared" si="22"/>
        <v>-0.0292825768667643</v>
      </c>
      <c r="H217" s="19" t="s">
        <v>47</v>
      </c>
      <c r="I217" s="19" t="s">
        <v>446</v>
      </c>
    </row>
    <row r="218" spans="1:9">
      <c r="A218" s="17" t="s">
        <v>447</v>
      </c>
      <c r="B218" s="17" t="s">
        <v>448</v>
      </c>
      <c r="C218" s="18">
        <v>46163</v>
      </c>
      <c r="D218" s="19">
        <v>16.3</v>
      </c>
      <c r="E218" s="18">
        <v>46169</v>
      </c>
      <c r="F218" s="19">
        <v>15.28</v>
      </c>
      <c r="G218" s="20">
        <f t="shared" si="22"/>
        <v>-0.0625766871165645</v>
      </c>
      <c r="H218" s="19" t="s">
        <v>47</v>
      </c>
      <c r="I218" s="19" t="s">
        <v>449</v>
      </c>
    </row>
    <row r="219" spans="1:9">
      <c r="A219" s="31" t="s">
        <v>450</v>
      </c>
      <c r="B219" s="31" t="s">
        <v>451</v>
      </c>
      <c r="C219" s="33"/>
      <c r="D219" s="33"/>
      <c r="E219" s="33"/>
      <c r="F219" s="33"/>
      <c r="G219" s="33"/>
      <c r="H219" s="33" t="s">
        <v>47</v>
      </c>
      <c r="I219" s="33"/>
    </row>
    <row r="220" spans="1:9">
      <c r="A220" s="17" t="s">
        <v>452</v>
      </c>
      <c r="B220" s="17" t="s">
        <v>453</v>
      </c>
      <c r="C220" s="18">
        <v>46175</v>
      </c>
      <c r="D220" s="19">
        <v>18.02</v>
      </c>
      <c r="E220" s="18">
        <v>46176</v>
      </c>
      <c r="F220" s="19">
        <v>17.15</v>
      </c>
      <c r="G220" s="20">
        <f t="shared" si="22"/>
        <v>-0.0482796892341842</v>
      </c>
      <c r="H220" s="19" t="s">
        <v>47</v>
      </c>
      <c r="I220" s="19" t="s">
        <v>454</v>
      </c>
    </row>
    <row r="221" spans="1:9">
      <c r="A221" s="31" t="s">
        <v>455</v>
      </c>
      <c r="B221" s="31" t="s">
        <v>456</v>
      </c>
      <c r="C221" s="33"/>
      <c r="D221" s="33"/>
      <c r="E221" s="33"/>
      <c r="F221" s="33"/>
      <c r="G221" s="33"/>
      <c r="H221" s="33" t="s">
        <v>47</v>
      </c>
      <c r="I221" s="33"/>
    </row>
    <row r="222" spans="1:9">
      <c r="A222" s="31" t="s">
        <v>355</v>
      </c>
      <c r="B222" s="31" t="s">
        <v>356</v>
      </c>
      <c r="C222" s="33"/>
      <c r="D222" s="33"/>
      <c r="E222" s="33"/>
      <c r="F222" s="33"/>
      <c r="G222" s="33"/>
      <c r="H222" s="33" t="s">
        <v>47</v>
      </c>
      <c r="I222" s="33"/>
    </row>
    <row r="223" spans="1:9">
      <c r="A223" s="31" t="s">
        <v>457</v>
      </c>
      <c r="B223" s="31" t="s">
        <v>458</v>
      </c>
      <c r="C223" s="33"/>
      <c r="D223" s="33"/>
      <c r="E223" s="33"/>
      <c r="F223" s="33"/>
      <c r="G223" s="33"/>
      <c r="H223" s="33" t="s">
        <v>47</v>
      </c>
      <c r="I223" s="33" t="s">
        <v>459</v>
      </c>
    </row>
    <row r="224" spans="1:9">
      <c r="A224" s="31" t="s">
        <v>460</v>
      </c>
      <c r="B224" s="31" t="s">
        <v>461</v>
      </c>
      <c r="C224" s="33"/>
      <c r="D224" s="33"/>
      <c r="E224" s="33"/>
      <c r="F224" s="33"/>
      <c r="G224" s="33"/>
      <c r="H224" s="33" t="s">
        <v>47</v>
      </c>
      <c r="I224" s="33"/>
    </row>
    <row r="225" spans="1:9">
      <c r="A225" s="31" t="s">
        <v>462</v>
      </c>
      <c r="B225" s="31" t="s">
        <v>463</v>
      </c>
      <c r="C225" s="33"/>
      <c r="D225" s="33"/>
      <c r="E225" s="33"/>
      <c r="F225" s="33"/>
      <c r="G225" s="33"/>
      <c r="H225" s="33" t="s">
        <v>47</v>
      </c>
      <c r="I225" s="33"/>
    </row>
    <row r="226" spans="1:9">
      <c r="A226" s="31" t="s">
        <v>69</v>
      </c>
      <c r="B226" s="31" t="s">
        <v>70</v>
      </c>
      <c r="C226" s="33"/>
      <c r="D226" s="33"/>
      <c r="E226" s="33"/>
      <c r="F226" s="33"/>
      <c r="G226" s="33"/>
      <c r="H226" s="33" t="s">
        <v>47</v>
      </c>
      <c r="I226" s="33"/>
    </row>
    <row r="227" spans="1:9">
      <c r="A227" s="31" t="s">
        <v>464</v>
      </c>
      <c r="B227" s="31" t="s">
        <v>465</v>
      </c>
      <c r="C227" s="33"/>
      <c r="D227" s="33"/>
      <c r="E227" s="33"/>
      <c r="F227" s="33"/>
      <c r="G227" s="33"/>
      <c r="H227" s="33" t="s">
        <v>47</v>
      </c>
      <c r="I227" s="33"/>
    </row>
    <row r="228" spans="1:9">
      <c r="A228" s="31" t="s">
        <v>343</v>
      </c>
      <c r="B228" s="31" t="s">
        <v>344</v>
      </c>
      <c r="C228" s="33"/>
      <c r="D228" s="33"/>
      <c r="E228" s="33"/>
      <c r="F228" s="33"/>
      <c r="G228" s="33"/>
      <c r="H228" s="33" t="s">
        <v>47</v>
      </c>
      <c r="I228" s="33"/>
    </row>
    <row r="229" spans="1:9">
      <c r="A229" s="31" t="s">
        <v>415</v>
      </c>
      <c r="B229" s="31" t="s">
        <v>416</v>
      </c>
      <c r="C229" s="33"/>
      <c r="D229" s="33"/>
      <c r="E229" s="33"/>
      <c r="F229" s="33"/>
      <c r="G229" s="33"/>
      <c r="H229" s="33" t="s">
        <v>47</v>
      </c>
      <c r="I229" s="33"/>
    </row>
    <row r="230" spans="1:9">
      <c r="A230" s="31" t="s">
        <v>141</v>
      </c>
      <c r="B230" s="31" t="s">
        <v>142</v>
      </c>
      <c r="C230" s="33"/>
      <c r="D230" s="33"/>
      <c r="E230" s="33"/>
      <c r="F230" s="33"/>
      <c r="G230" s="33"/>
      <c r="H230" s="33" t="s">
        <v>47</v>
      </c>
      <c r="I230" s="33"/>
    </row>
    <row r="231" spans="1:9">
      <c r="A231" s="31" t="s">
        <v>179</v>
      </c>
      <c r="B231" s="31" t="s">
        <v>180</v>
      </c>
      <c r="C231" s="33"/>
      <c r="D231" s="33"/>
      <c r="E231" s="33"/>
      <c r="F231" s="33"/>
      <c r="G231" s="33"/>
      <c r="H231" s="33" t="s">
        <v>47</v>
      </c>
      <c r="I231" s="33"/>
    </row>
  </sheetData>
  <mergeCells count="19">
    <mergeCell ref="A1:G1"/>
    <mergeCell ref="A2:G2"/>
    <mergeCell ref="A3:G3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A62:I62"/>
    <mergeCell ref="A63:I63"/>
    <mergeCell ref="A125:I125"/>
    <mergeCell ref="A141:I14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52"/>
  <sheetViews>
    <sheetView topLeftCell="A23" workbookViewId="0">
      <selection activeCell="D41" sqref="D41"/>
    </sheetView>
  </sheetViews>
  <sheetFormatPr defaultColWidth="9" defaultRowHeight="13.5"/>
  <cols>
    <col min="1" max="1" width="17.5" customWidth="1"/>
    <col min="2" max="2" width="22.25" customWidth="1"/>
    <col min="3" max="3" width="20.125" customWidth="1"/>
    <col min="4" max="4" width="21.125" customWidth="1"/>
    <col min="5" max="5" width="16" customWidth="1"/>
    <col min="6" max="6" width="16.125" customWidth="1"/>
    <col min="7" max="7" width="11.625" customWidth="1"/>
    <col min="9" max="9" width="51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2" t="s">
        <v>2</v>
      </c>
      <c r="B3" s="2"/>
      <c r="C3" s="2"/>
      <c r="D3" s="2"/>
      <c r="E3" s="2"/>
      <c r="F3" s="2"/>
      <c r="G3" s="2"/>
    </row>
    <row r="5" spans="1:9">
      <c r="A5" s="1" t="s">
        <v>3</v>
      </c>
      <c r="B5" s="1" t="s">
        <v>4</v>
      </c>
      <c r="C5" s="1"/>
      <c r="D5" s="1" t="s">
        <v>5</v>
      </c>
      <c r="E5" s="1"/>
      <c r="F5" s="1"/>
      <c r="G5" s="1"/>
    </row>
    <row r="6" spans="1:9">
      <c r="A6" s="3" t="s">
        <v>6</v>
      </c>
      <c r="B6" s="48" t="s">
        <v>466</v>
      </c>
      <c r="C6" s="48"/>
      <c r="D6" s="3" t="s">
        <v>8</v>
      </c>
      <c r="E6" s="3"/>
      <c r="F6" s="3"/>
      <c r="G6" s="3"/>
    </row>
    <row r="7" spans="1:9">
      <c r="A7" s="3" t="s">
        <v>9</v>
      </c>
      <c r="B7" s="3" t="s">
        <v>7</v>
      </c>
      <c r="C7" s="3"/>
      <c r="D7" s="3" t="s">
        <v>10</v>
      </c>
      <c r="E7" s="3"/>
      <c r="F7" s="3"/>
      <c r="G7" s="3"/>
    </row>
    <row r="8" spans="1:9">
      <c r="A8" s="3" t="s">
        <v>11</v>
      </c>
      <c r="B8" s="2" t="s">
        <v>12</v>
      </c>
      <c r="C8" s="2"/>
      <c r="D8" s="3" t="s">
        <v>13</v>
      </c>
      <c r="E8" s="3"/>
      <c r="F8" s="3"/>
      <c r="G8" s="3"/>
    </row>
    <row r="9" spans="1:9">
      <c r="A9" s="3" t="s">
        <v>14</v>
      </c>
      <c r="B9" s="3" t="s">
        <v>7</v>
      </c>
      <c r="C9" s="3"/>
      <c r="D9" s="3" t="s">
        <v>15</v>
      </c>
      <c r="E9" s="3"/>
      <c r="F9" s="3"/>
      <c r="G9" s="3"/>
    </row>
    <row r="10" ht="46" customHeight="1" spans="1:9">
      <c r="A10" s="3" t="s">
        <v>16</v>
      </c>
      <c r="B10" s="2" t="s">
        <v>17</v>
      </c>
      <c r="C10" s="2"/>
      <c r="D10" s="3" t="s">
        <v>18</v>
      </c>
      <c r="E10" s="3"/>
      <c r="F10" s="3"/>
      <c r="G10" s="3"/>
    </row>
    <row r="12" spans="1:9">
      <c r="A12" s="9" t="s">
        <v>19</v>
      </c>
      <c r="B12" s="9" t="s">
        <v>20</v>
      </c>
      <c r="C12" s="9" t="s">
        <v>21</v>
      </c>
      <c r="D12" s="9" t="s">
        <v>22</v>
      </c>
      <c r="E12" s="9" t="s">
        <v>23</v>
      </c>
      <c r="F12" s="9" t="s">
        <v>24</v>
      </c>
      <c r="G12" s="9" t="s">
        <v>25</v>
      </c>
      <c r="H12" s="9" t="s">
        <v>26</v>
      </c>
      <c r="I12" s="10" t="s">
        <v>27</v>
      </c>
    </row>
    <row r="13" spans="1:9">
      <c r="A13" s="49" t="s">
        <v>42</v>
      </c>
      <c r="B13" s="49" t="s">
        <v>43</v>
      </c>
      <c r="C13" s="50">
        <v>45733</v>
      </c>
      <c r="D13" s="51">
        <v>91.04</v>
      </c>
      <c r="E13" s="50">
        <v>45737</v>
      </c>
      <c r="F13" s="51">
        <v>88.65</v>
      </c>
      <c r="G13" s="52">
        <f t="shared" ref="G13:G18" si="0">F13/D13-1</f>
        <v>-0.0262521968365553</v>
      </c>
      <c r="H13" s="51" t="s">
        <v>30</v>
      </c>
      <c r="I13" s="51" t="s">
        <v>467</v>
      </c>
    </row>
    <row r="14" spans="1:9">
      <c r="A14" s="49" t="s">
        <v>38</v>
      </c>
      <c r="B14" s="49" t="s">
        <v>39</v>
      </c>
      <c r="C14" s="50">
        <v>45733</v>
      </c>
      <c r="D14" s="51">
        <v>32.72</v>
      </c>
      <c r="E14" s="50">
        <v>45735</v>
      </c>
      <c r="F14" s="51">
        <v>32.39</v>
      </c>
      <c r="G14" s="52">
        <f t="shared" si="0"/>
        <v>-0.0100855745721271</v>
      </c>
      <c r="H14" s="51" t="s">
        <v>30</v>
      </c>
      <c r="I14" s="51" t="s">
        <v>31</v>
      </c>
    </row>
    <row r="15" spans="1:9">
      <c r="A15" s="49" t="s">
        <v>69</v>
      </c>
      <c r="B15" s="49" t="s">
        <v>70</v>
      </c>
      <c r="C15" s="50">
        <v>45733</v>
      </c>
      <c r="D15" s="51">
        <v>12.65</v>
      </c>
      <c r="E15" s="50">
        <v>45736</v>
      </c>
      <c r="F15" s="51">
        <v>12.73</v>
      </c>
      <c r="G15" s="52">
        <f t="shared" si="0"/>
        <v>0.00632411067193672</v>
      </c>
      <c r="H15" s="51" t="s">
        <v>55</v>
      </c>
      <c r="I15" s="51" t="s">
        <v>31</v>
      </c>
    </row>
    <row r="16" spans="1:9">
      <c r="A16" s="22" t="s">
        <v>468</v>
      </c>
      <c r="B16" s="22" t="s">
        <v>469</v>
      </c>
      <c r="C16" s="50">
        <v>45736</v>
      </c>
      <c r="D16" s="51">
        <v>23.21</v>
      </c>
      <c r="E16" s="50">
        <v>45737</v>
      </c>
      <c r="F16" s="51">
        <v>22.7</v>
      </c>
      <c r="G16" s="52">
        <f t="shared" si="0"/>
        <v>-0.021973287376131</v>
      </c>
      <c r="H16" s="51" t="s">
        <v>55</v>
      </c>
      <c r="I16" s="51" t="s">
        <v>470</v>
      </c>
    </row>
    <row r="17" spans="1:9">
      <c r="A17" s="22" t="s">
        <v>471</v>
      </c>
      <c r="B17" s="22" t="s">
        <v>472</v>
      </c>
      <c r="C17" s="50">
        <v>45744</v>
      </c>
      <c r="D17" s="51">
        <v>25.87</v>
      </c>
      <c r="E17" s="50">
        <v>45747</v>
      </c>
      <c r="F17" s="51">
        <v>25</v>
      </c>
      <c r="G17" s="52">
        <f t="shared" si="0"/>
        <v>-0.0336296868960186</v>
      </c>
      <c r="H17" s="51" t="s">
        <v>55</v>
      </c>
      <c r="I17" s="51" t="s">
        <v>473</v>
      </c>
    </row>
    <row r="18" spans="1:9">
      <c r="A18" s="22" t="s">
        <v>471</v>
      </c>
      <c r="B18" s="22" t="s">
        <v>472</v>
      </c>
      <c r="C18" s="50">
        <v>45750</v>
      </c>
      <c r="D18" s="51">
        <v>25.21</v>
      </c>
      <c r="E18" s="50">
        <v>45754</v>
      </c>
      <c r="F18" s="51">
        <v>23.51</v>
      </c>
      <c r="G18" s="52">
        <f t="shared" si="0"/>
        <v>-0.0674335581118604</v>
      </c>
      <c r="H18" s="51" t="s">
        <v>55</v>
      </c>
      <c r="I18" s="51" t="s">
        <v>474</v>
      </c>
    </row>
    <row r="19" spans="1:9">
      <c r="A19" s="53" t="s">
        <v>475</v>
      </c>
      <c r="B19" s="53" t="s">
        <v>476</v>
      </c>
      <c r="C19" s="54" t="s">
        <v>54</v>
      </c>
      <c r="D19" s="54"/>
      <c r="E19" s="54"/>
      <c r="F19" s="54"/>
      <c r="G19" s="54"/>
      <c r="H19" s="54" t="s">
        <v>55</v>
      </c>
      <c r="I19" s="54" t="s">
        <v>477</v>
      </c>
    </row>
    <row r="20" spans="1:9">
      <c r="A20" s="53" t="s">
        <v>113</v>
      </c>
      <c r="B20" s="53" t="s">
        <v>114</v>
      </c>
      <c r="C20" s="54" t="s">
        <v>54</v>
      </c>
      <c r="D20" s="54"/>
      <c r="E20" s="54"/>
      <c r="F20" s="54"/>
      <c r="G20" s="54"/>
      <c r="H20" s="54" t="s">
        <v>55</v>
      </c>
      <c r="I20" s="54" t="s">
        <v>478</v>
      </c>
    </row>
    <row r="21" spans="1:9">
      <c r="A21" s="45" t="s">
        <v>479</v>
      </c>
      <c r="B21" s="45" t="s">
        <v>480</v>
      </c>
      <c r="C21" s="54"/>
      <c r="D21" s="54"/>
      <c r="E21" s="54"/>
      <c r="F21" s="54"/>
      <c r="G21" s="54"/>
      <c r="H21" s="45" t="s">
        <v>55</v>
      </c>
      <c r="I21" s="54" t="s">
        <v>481</v>
      </c>
    </row>
    <row r="22" spans="1:9">
      <c r="A22" s="45" t="s">
        <v>482</v>
      </c>
      <c r="B22" s="45" t="s">
        <v>483</v>
      </c>
      <c r="C22" s="54"/>
      <c r="D22" s="54"/>
      <c r="E22" s="54"/>
      <c r="F22" s="54"/>
      <c r="G22" s="54"/>
      <c r="H22" s="45" t="s">
        <v>55</v>
      </c>
      <c r="I22" s="54" t="s">
        <v>484</v>
      </c>
    </row>
    <row r="23" spans="1:9">
      <c r="A23" s="29" t="s">
        <v>485</v>
      </c>
      <c r="B23" s="29" t="s">
        <v>486</v>
      </c>
      <c r="C23" s="30"/>
      <c r="D23" s="30"/>
      <c r="E23" s="30"/>
      <c r="F23" s="30"/>
      <c r="G23" s="30"/>
      <c r="H23" s="30" t="s">
        <v>111</v>
      </c>
      <c r="I23" s="30" t="s">
        <v>487</v>
      </c>
    </row>
    <row r="25" spans="1:9">
      <c r="A25" s="27" t="s">
        <v>488</v>
      </c>
      <c r="B25" s="27"/>
      <c r="C25" s="27"/>
      <c r="D25" s="27"/>
      <c r="E25" s="27"/>
      <c r="F25" s="27"/>
      <c r="G25" s="27"/>
      <c r="H25" s="27"/>
      <c r="I25" s="27"/>
    </row>
    <row r="26" spans="1:9">
      <c r="A26" s="9" t="s">
        <v>19</v>
      </c>
      <c r="B26" s="9" t="s">
        <v>20</v>
      </c>
      <c r="C26" s="9" t="s">
        <v>21</v>
      </c>
      <c r="D26" s="9" t="s">
        <v>22</v>
      </c>
      <c r="E26" s="9" t="s">
        <v>23</v>
      </c>
      <c r="F26" s="9" t="s">
        <v>24</v>
      </c>
      <c r="G26" s="9" t="s">
        <v>25</v>
      </c>
      <c r="H26" s="9" t="s">
        <v>26</v>
      </c>
      <c r="I26" s="10" t="s">
        <v>27</v>
      </c>
    </row>
    <row r="27" spans="1:9">
      <c r="A27" s="17" t="s">
        <v>489</v>
      </c>
      <c r="B27" s="17" t="s">
        <v>490</v>
      </c>
      <c r="C27" s="18">
        <v>45797</v>
      </c>
      <c r="D27" s="19">
        <v>2.9</v>
      </c>
      <c r="E27" s="18">
        <v>45800</v>
      </c>
      <c r="F27" s="19">
        <v>2.83</v>
      </c>
      <c r="G27" s="20">
        <f>F27/D27-1</f>
        <v>-0.0241379310344827</v>
      </c>
      <c r="H27" s="17" t="s">
        <v>111</v>
      </c>
      <c r="I27" s="19" t="s">
        <v>491</v>
      </c>
    </row>
    <row r="28" spans="1:9">
      <c r="A28" s="17" t="s">
        <v>441</v>
      </c>
      <c r="B28" s="17" t="s">
        <v>442</v>
      </c>
      <c r="C28" s="18">
        <v>45869</v>
      </c>
      <c r="D28" s="19">
        <v>3</v>
      </c>
      <c r="E28" s="18">
        <v>45918</v>
      </c>
      <c r="F28" s="19">
        <v>3.23</v>
      </c>
      <c r="G28" s="20">
        <f t="shared" ref="G28:G33" si="1">F28/D28-1</f>
        <v>0.0766666666666667</v>
      </c>
      <c r="H28" s="17" t="s">
        <v>55</v>
      </c>
      <c r="I28" s="19" t="s">
        <v>492</v>
      </c>
    </row>
    <row r="29" spans="1:9">
      <c r="A29" s="17" t="s">
        <v>493</v>
      </c>
      <c r="B29" s="17" t="s">
        <v>494</v>
      </c>
      <c r="C29" s="19"/>
      <c r="D29" s="19"/>
      <c r="E29" s="19"/>
      <c r="F29" s="19"/>
      <c r="G29" s="19"/>
      <c r="H29" s="17" t="s">
        <v>55</v>
      </c>
      <c r="I29" s="19" t="s">
        <v>495</v>
      </c>
    </row>
    <row r="30" spans="1:9">
      <c r="A30" s="17" t="s">
        <v>489</v>
      </c>
      <c r="B30" s="17" t="s">
        <v>490</v>
      </c>
      <c r="C30" s="18">
        <v>45841</v>
      </c>
      <c r="D30" s="19">
        <v>2.98</v>
      </c>
      <c r="E30" s="18">
        <v>45853</v>
      </c>
      <c r="F30" s="19">
        <v>3</v>
      </c>
      <c r="G30" s="20">
        <f t="shared" si="1"/>
        <v>0.00671140939597326</v>
      </c>
      <c r="H30" s="17" t="s">
        <v>111</v>
      </c>
      <c r="I30" s="19" t="s">
        <v>496</v>
      </c>
    </row>
    <row r="31" spans="1:9">
      <c r="A31" s="17" t="s">
        <v>489</v>
      </c>
      <c r="B31" s="17" t="s">
        <v>490</v>
      </c>
      <c r="C31" s="19"/>
      <c r="D31" s="19"/>
      <c r="E31" s="19"/>
      <c r="F31" s="19"/>
      <c r="G31" s="19"/>
      <c r="H31" s="17" t="s">
        <v>111</v>
      </c>
      <c r="I31" s="19" t="s">
        <v>497</v>
      </c>
    </row>
    <row r="32" spans="1:9">
      <c r="A32" s="17" t="s">
        <v>498</v>
      </c>
      <c r="B32" s="17" t="s">
        <v>499</v>
      </c>
      <c r="C32" s="18">
        <v>45926</v>
      </c>
      <c r="D32" s="19">
        <v>32.85</v>
      </c>
      <c r="E32" s="18">
        <v>45968</v>
      </c>
      <c r="F32" s="19">
        <v>34.64</v>
      </c>
      <c r="G32" s="20">
        <f>F32/D32-1</f>
        <v>0.0544901065449011</v>
      </c>
      <c r="H32" s="17" t="s">
        <v>111</v>
      </c>
      <c r="I32" s="19" t="s">
        <v>500</v>
      </c>
    </row>
    <row r="33" spans="1:9">
      <c r="A33" s="17" t="s">
        <v>447</v>
      </c>
      <c r="B33" s="17" t="s">
        <v>448</v>
      </c>
      <c r="C33" s="18">
        <v>45911</v>
      </c>
      <c r="D33" s="19">
        <v>22</v>
      </c>
      <c r="E33" s="18">
        <v>45918</v>
      </c>
      <c r="F33" s="19">
        <v>20.95</v>
      </c>
      <c r="G33" s="20">
        <f t="shared" si="1"/>
        <v>-0.0477272727272727</v>
      </c>
      <c r="H33" s="17" t="s">
        <v>55</v>
      </c>
      <c r="I33" s="19" t="s">
        <v>501</v>
      </c>
    </row>
    <row r="34" spans="1:9">
      <c r="A34" s="17" t="s">
        <v>502</v>
      </c>
      <c r="B34" s="17" t="s">
        <v>503</v>
      </c>
      <c r="C34" s="19"/>
      <c r="D34" s="19"/>
      <c r="E34" s="19"/>
      <c r="F34" s="19"/>
      <c r="G34" s="19"/>
      <c r="H34" s="17" t="s">
        <v>55</v>
      </c>
      <c r="I34" s="19" t="s">
        <v>255</v>
      </c>
    </row>
    <row r="35" spans="1:9">
      <c r="A35" s="17" t="s">
        <v>504</v>
      </c>
      <c r="B35" s="17" t="s">
        <v>505</v>
      </c>
      <c r="C35" s="19"/>
      <c r="D35" s="19"/>
      <c r="E35" s="19"/>
      <c r="F35" s="19"/>
      <c r="G35" s="19"/>
      <c r="H35" s="17" t="s">
        <v>55</v>
      </c>
      <c r="I35" s="19"/>
    </row>
    <row r="36" spans="1:9">
      <c r="A36" s="17" t="s">
        <v>471</v>
      </c>
      <c r="B36" s="17" t="s">
        <v>472</v>
      </c>
      <c r="C36" s="19"/>
      <c r="D36" s="19"/>
      <c r="E36" s="19"/>
      <c r="F36" s="19"/>
      <c r="G36" s="19"/>
      <c r="H36" s="17" t="s">
        <v>55</v>
      </c>
      <c r="I36" s="19"/>
    </row>
    <row r="37" spans="1:9">
      <c r="A37" s="17" t="s">
        <v>63</v>
      </c>
      <c r="B37" s="17" t="s">
        <v>64</v>
      </c>
      <c r="C37" s="18">
        <v>46016</v>
      </c>
      <c r="D37" s="19">
        <v>36.5</v>
      </c>
      <c r="E37" s="18">
        <v>46021</v>
      </c>
      <c r="F37" s="19">
        <v>36.62</v>
      </c>
      <c r="G37" s="20">
        <f t="shared" ref="G37:G43" si="2">F37/D37-1</f>
        <v>0.00328767123287665</v>
      </c>
      <c r="H37" s="17" t="s">
        <v>55</v>
      </c>
      <c r="I37" s="19" t="s">
        <v>506</v>
      </c>
    </row>
    <row r="38" spans="1:9">
      <c r="A38" s="17" t="s">
        <v>507</v>
      </c>
      <c r="B38" s="17" t="s">
        <v>508</v>
      </c>
      <c r="C38" s="19"/>
      <c r="D38" s="19"/>
      <c r="E38" s="19"/>
      <c r="F38" s="19"/>
      <c r="G38" s="19"/>
      <c r="H38" s="17" t="s">
        <v>55</v>
      </c>
      <c r="I38" s="19"/>
    </row>
    <row r="39" spans="1:9">
      <c r="A39" s="17" t="s">
        <v>398</v>
      </c>
      <c r="B39" s="17" t="s">
        <v>399</v>
      </c>
      <c r="C39" s="18">
        <v>46035</v>
      </c>
      <c r="D39" s="19">
        <v>19.23</v>
      </c>
      <c r="E39" s="18">
        <v>46041</v>
      </c>
      <c r="F39" s="19">
        <v>18.25</v>
      </c>
      <c r="G39" s="20">
        <f>F39/D39-1</f>
        <v>-0.0509620384815392</v>
      </c>
      <c r="H39" s="17" t="s">
        <v>55</v>
      </c>
      <c r="I39" s="19" t="s">
        <v>509</v>
      </c>
    </row>
    <row r="40" spans="1:9">
      <c r="A40" s="17" t="s">
        <v>475</v>
      </c>
      <c r="B40" s="17" t="s">
        <v>476</v>
      </c>
      <c r="C40" s="18">
        <v>45988</v>
      </c>
      <c r="D40" s="19">
        <v>36.15</v>
      </c>
      <c r="E40" s="18">
        <v>46007</v>
      </c>
      <c r="F40" s="19">
        <v>34.2</v>
      </c>
      <c r="G40" s="20">
        <f t="shared" si="2"/>
        <v>-0.0539419087136929</v>
      </c>
      <c r="H40" s="17" t="s">
        <v>55</v>
      </c>
      <c r="I40" s="19" t="s">
        <v>510</v>
      </c>
    </row>
    <row r="41" spans="1:9">
      <c r="A41" s="17" t="s">
        <v>511</v>
      </c>
      <c r="B41" s="17" t="s">
        <v>512</v>
      </c>
      <c r="C41" s="18">
        <v>46029</v>
      </c>
      <c r="D41" s="19">
        <v>4.09</v>
      </c>
      <c r="E41" s="18">
        <v>46042</v>
      </c>
      <c r="F41" s="19">
        <v>4.18</v>
      </c>
      <c r="G41" s="20">
        <f t="shared" si="2"/>
        <v>0.0220048899755501</v>
      </c>
      <c r="H41" s="17" t="s">
        <v>55</v>
      </c>
      <c r="I41" s="19" t="s">
        <v>513</v>
      </c>
    </row>
    <row r="42" spans="1:9">
      <c r="A42" s="17" t="s">
        <v>257</v>
      </c>
      <c r="B42" s="17" t="s">
        <v>258</v>
      </c>
      <c r="C42" s="18">
        <v>46028</v>
      </c>
      <c r="D42" s="19">
        <v>17.57</v>
      </c>
      <c r="E42" s="19"/>
      <c r="F42" s="19">
        <v>17.55</v>
      </c>
      <c r="G42" s="20">
        <f t="shared" si="2"/>
        <v>-0.00113830392714853</v>
      </c>
      <c r="H42" s="17" t="s">
        <v>55</v>
      </c>
      <c r="I42" s="19" t="s">
        <v>514</v>
      </c>
    </row>
    <row r="43" spans="1:9">
      <c r="A43" s="17" t="s">
        <v>515</v>
      </c>
      <c r="B43" s="17" t="s">
        <v>516</v>
      </c>
      <c r="C43" s="18">
        <v>46029</v>
      </c>
      <c r="D43" s="19">
        <v>39.36</v>
      </c>
      <c r="E43" s="18">
        <v>46035</v>
      </c>
      <c r="F43" s="19">
        <v>38.58</v>
      </c>
      <c r="G43" s="20">
        <f t="shared" si="2"/>
        <v>-0.0198170731707318</v>
      </c>
      <c r="H43" s="17" t="s">
        <v>55</v>
      </c>
      <c r="I43" s="19" t="s">
        <v>517</v>
      </c>
    </row>
    <row r="44" spans="1:9">
      <c r="A44" s="27" t="s">
        <v>518</v>
      </c>
      <c r="B44" s="27"/>
      <c r="C44" s="27"/>
      <c r="D44" s="27"/>
      <c r="E44" s="27"/>
      <c r="F44" s="27"/>
      <c r="G44" s="27"/>
      <c r="H44" s="27"/>
      <c r="I44" s="27"/>
    </row>
    <row r="45" spans="1:9">
      <c r="A45" s="17" t="s">
        <v>519</v>
      </c>
      <c r="B45" s="17" t="s">
        <v>520</v>
      </c>
      <c r="C45" s="19"/>
      <c r="D45" s="19"/>
      <c r="E45" s="19"/>
      <c r="F45" s="19"/>
      <c r="G45" s="19"/>
      <c r="H45" s="17" t="s">
        <v>55</v>
      </c>
      <c r="I45" s="19" t="s">
        <v>521</v>
      </c>
    </row>
    <row r="46" spans="1:9">
      <c r="A46" s="17" t="s">
        <v>522</v>
      </c>
      <c r="B46" s="17" t="s">
        <v>523</v>
      </c>
      <c r="C46" s="18">
        <v>46121</v>
      </c>
      <c r="D46" s="19">
        <v>16.95</v>
      </c>
      <c r="E46" s="18">
        <v>46132</v>
      </c>
      <c r="F46" s="19">
        <v>16.88</v>
      </c>
      <c r="G46" s="20">
        <f>F46/D46-1</f>
        <v>-0.0041297935103245</v>
      </c>
      <c r="H46" s="17" t="s">
        <v>55</v>
      </c>
      <c r="I46" s="19" t="s">
        <v>345</v>
      </c>
    </row>
    <row r="47" spans="1:9">
      <c r="A47" s="17" t="s">
        <v>524</v>
      </c>
      <c r="B47" s="17" t="s">
        <v>525</v>
      </c>
      <c r="C47" s="18">
        <v>46112</v>
      </c>
      <c r="D47" s="19">
        <v>14.55</v>
      </c>
      <c r="E47" s="18">
        <v>46115</v>
      </c>
      <c r="F47" s="19">
        <v>14.23</v>
      </c>
      <c r="G47" s="20">
        <f t="shared" ref="G47:G52" si="3">F47/D47-1</f>
        <v>-0.0219931271477664</v>
      </c>
      <c r="H47" s="17" t="s">
        <v>55</v>
      </c>
      <c r="I47" s="19" t="s">
        <v>363</v>
      </c>
    </row>
    <row r="48" spans="1:9">
      <c r="A48" s="17" t="s">
        <v>526</v>
      </c>
      <c r="B48" s="17" t="s">
        <v>527</v>
      </c>
      <c r="C48" s="18">
        <v>46107</v>
      </c>
      <c r="D48" s="19">
        <v>16.19</v>
      </c>
      <c r="E48" s="18">
        <v>46112</v>
      </c>
      <c r="F48" s="19">
        <v>15.6</v>
      </c>
      <c r="G48" s="20">
        <f t="shared" si="3"/>
        <v>-0.0364422483014207</v>
      </c>
      <c r="H48" s="17" t="s">
        <v>55</v>
      </c>
      <c r="I48" s="19" t="s">
        <v>528</v>
      </c>
    </row>
    <row r="49" spans="1:9">
      <c r="A49" s="17" t="s">
        <v>75</v>
      </c>
      <c r="B49" s="17" t="s">
        <v>76</v>
      </c>
      <c r="C49" s="18">
        <v>46125</v>
      </c>
      <c r="D49" s="19">
        <v>8.5</v>
      </c>
      <c r="E49" s="18">
        <v>46129</v>
      </c>
      <c r="F49" s="19">
        <v>8.67</v>
      </c>
      <c r="G49" s="20">
        <f t="shared" si="3"/>
        <v>0.02</v>
      </c>
      <c r="H49" s="17" t="s">
        <v>55</v>
      </c>
      <c r="I49" s="19" t="s">
        <v>529</v>
      </c>
    </row>
    <row r="50" spans="1:9">
      <c r="A50" s="17" t="s">
        <v>530</v>
      </c>
      <c r="B50" s="17" t="s">
        <v>531</v>
      </c>
      <c r="C50" s="18">
        <v>46112</v>
      </c>
      <c r="D50" s="19">
        <v>9.25</v>
      </c>
      <c r="E50" s="18">
        <v>46113</v>
      </c>
      <c r="F50" s="19">
        <v>9.05</v>
      </c>
      <c r="G50" s="20">
        <f t="shared" si="3"/>
        <v>-0.0216216216216215</v>
      </c>
      <c r="H50" s="17" t="s">
        <v>55</v>
      </c>
      <c r="I50" s="19" t="s">
        <v>532</v>
      </c>
    </row>
    <row r="51" spans="1:9">
      <c r="A51" s="17" t="s">
        <v>533</v>
      </c>
      <c r="B51" s="17" t="s">
        <v>534</v>
      </c>
      <c r="C51" s="18">
        <v>46125</v>
      </c>
      <c r="D51" s="19">
        <v>99.99</v>
      </c>
      <c r="E51" s="18">
        <v>46128</v>
      </c>
      <c r="F51" s="19">
        <v>99.66</v>
      </c>
      <c r="G51" s="20">
        <f t="shared" si="3"/>
        <v>-0.00330033003300323</v>
      </c>
      <c r="H51" s="17" t="s">
        <v>55</v>
      </c>
      <c r="I51" s="19" t="s">
        <v>529</v>
      </c>
    </row>
    <row r="52" spans="1:9">
      <c r="A52" s="17" t="s">
        <v>57</v>
      </c>
      <c r="B52" s="17" t="s">
        <v>58</v>
      </c>
      <c r="C52" s="18">
        <v>46149</v>
      </c>
      <c r="D52" s="19">
        <v>6.72</v>
      </c>
      <c r="E52" s="18">
        <v>46157</v>
      </c>
      <c r="F52" s="19">
        <v>6.83</v>
      </c>
      <c r="G52" s="20">
        <f t="shared" si="3"/>
        <v>0.0163690476190477</v>
      </c>
      <c r="H52" s="17" t="s">
        <v>55</v>
      </c>
      <c r="I52" s="19" t="s">
        <v>535</v>
      </c>
    </row>
  </sheetData>
  <mergeCells count="17">
    <mergeCell ref="A1:G1"/>
    <mergeCell ref="A2:G2"/>
    <mergeCell ref="A3:G3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A25:I25"/>
    <mergeCell ref="A44:I4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69"/>
  <sheetViews>
    <sheetView topLeftCell="A46" workbookViewId="0">
      <selection activeCell="F63" sqref="F63"/>
    </sheetView>
  </sheetViews>
  <sheetFormatPr defaultColWidth="9" defaultRowHeight="13.5"/>
  <cols>
    <col min="1" max="1" width="17.5" customWidth="1"/>
    <col min="2" max="2" width="22.25" customWidth="1"/>
    <col min="3" max="3" width="20.125" customWidth="1"/>
    <col min="4" max="4" width="19.25" customWidth="1"/>
    <col min="5" max="5" width="16" customWidth="1"/>
    <col min="6" max="6" width="16.125" customWidth="1"/>
    <col min="7" max="7" width="11.625" customWidth="1"/>
    <col min="9" max="9" width="63.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2" t="s">
        <v>2</v>
      </c>
      <c r="B3" s="2"/>
      <c r="C3" s="2"/>
      <c r="D3" s="2"/>
      <c r="E3" s="2"/>
      <c r="F3" s="2"/>
      <c r="G3" s="2"/>
    </row>
    <row r="5" spans="1:9">
      <c r="A5" s="1" t="s">
        <v>3</v>
      </c>
      <c r="B5" s="1" t="s">
        <v>4</v>
      </c>
      <c r="C5" s="1"/>
      <c r="D5" s="1" t="s">
        <v>5</v>
      </c>
      <c r="E5" s="1"/>
      <c r="F5" s="1"/>
      <c r="G5" s="1"/>
    </row>
    <row r="6" spans="1:9">
      <c r="A6" s="3" t="s">
        <v>6</v>
      </c>
      <c r="B6" s="39" t="s">
        <v>7</v>
      </c>
      <c r="C6" s="39"/>
      <c r="D6" s="3" t="s">
        <v>8</v>
      </c>
      <c r="E6" s="3"/>
      <c r="F6" s="3"/>
      <c r="G6" s="3"/>
    </row>
    <row r="7" spans="1:9">
      <c r="A7" s="3" t="s">
        <v>9</v>
      </c>
      <c r="B7" s="3" t="s">
        <v>7</v>
      </c>
      <c r="C7" s="3"/>
      <c r="D7" s="3" t="s">
        <v>10</v>
      </c>
      <c r="E7" s="3"/>
      <c r="F7" s="3"/>
      <c r="G7" s="3"/>
    </row>
    <row r="8" spans="1:9">
      <c r="A8" s="3" t="s">
        <v>11</v>
      </c>
      <c r="B8" s="2" t="s">
        <v>12</v>
      </c>
      <c r="C8" s="2"/>
      <c r="D8" s="3" t="s">
        <v>13</v>
      </c>
      <c r="E8" s="3"/>
      <c r="F8" s="3"/>
      <c r="G8" s="3"/>
    </row>
    <row r="9" spans="1:9">
      <c r="A9" s="3" t="s">
        <v>536</v>
      </c>
      <c r="B9" s="3" t="s">
        <v>537</v>
      </c>
      <c r="C9" s="3"/>
      <c r="D9" s="3" t="s">
        <v>538</v>
      </c>
      <c r="E9" s="3"/>
      <c r="F9" s="3"/>
      <c r="G9" s="3"/>
    </row>
    <row r="10" spans="1:9">
      <c r="A10" s="3" t="s">
        <v>539</v>
      </c>
      <c r="B10" s="6" t="s">
        <v>540</v>
      </c>
      <c r="C10" s="8"/>
      <c r="D10" s="6" t="s">
        <v>541</v>
      </c>
      <c r="E10" s="7"/>
      <c r="F10" s="7"/>
      <c r="G10" s="8"/>
    </row>
    <row r="11" spans="1:9">
      <c r="A11" s="3" t="s">
        <v>542</v>
      </c>
      <c r="B11" s="6" t="s">
        <v>543</v>
      </c>
      <c r="C11" s="8"/>
      <c r="D11" s="6" t="s">
        <v>544</v>
      </c>
      <c r="E11" s="7"/>
      <c r="F11" s="7"/>
      <c r="G11" s="8"/>
    </row>
    <row r="12" ht="52" customHeight="1" spans="1:9">
      <c r="A12" s="3" t="s">
        <v>16</v>
      </c>
      <c r="B12" s="2" t="s">
        <v>17</v>
      </c>
      <c r="C12" s="2"/>
      <c r="D12" s="3" t="s">
        <v>18</v>
      </c>
      <c r="E12" s="3"/>
      <c r="F12" s="3"/>
      <c r="G12" s="3"/>
    </row>
    <row r="14" ht="15" spans="1:9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545</v>
      </c>
      <c r="G14" s="9" t="s">
        <v>25</v>
      </c>
      <c r="H14" s="9" t="s">
        <v>26</v>
      </c>
      <c r="I14" s="10" t="s">
        <v>27</v>
      </c>
    </row>
    <row r="15" spans="1:9">
      <c r="A15" s="11" t="s">
        <v>90</v>
      </c>
      <c r="B15" s="11" t="s">
        <v>91</v>
      </c>
      <c r="C15" s="44"/>
      <c r="D15" s="13"/>
      <c r="E15" s="13"/>
      <c r="F15" s="13"/>
      <c r="G15" s="13"/>
      <c r="H15" s="13" t="s">
        <v>47</v>
      </c>
      <c r="I15" s="13" t="s">
        <v>92</v>
      </c>
    </row>
    <row r="16" spans="1:9">
      <c r="A16" s="11" t="s">
        <v>96</v>
      </c>
      <c r="B16" s="11" t="s">
        <v>97</v>
      </c>
      <c r="C16" s="13"/>
      <c r="D16" s="13"/>
      <c r="E16" s="13"/>
      <c r="F16" s="13"/>
      <c r="G16" s="13"/>
      <c r="H16" s="13" t="s">
        <v>47</v>
      </c>
      <c r="I16" s="13" t="s">
        <v>98</v>
      </c>
    </row>
    <row r="17" spans="1:9">
      <c r="A17" s="29" t="s">
        <v>138</v>
      </c>
      <c r="B17" s="45" t="s">
        <v>139</v>
      </c>
      <c r="C17" s="30"/>
      <c r="D17" s="30"/>
      <c r="E17" s="30"/>
      <c r="F17" s="30"/>
      <c r="G17" s="30"/>
      <c r="H17" s="30" t="s">
        <v>47</v>
      </c>
      <c r="I17" s="30" t="s">
        <v>546</v>
      </c>
    </row>
    <row r="18" spans="1:9">
      <c r="A18" s="31" t="s">
        <v>141</v>
      </c>
      <c r="B18" s="31" t="s">
        <v>142</v>
      </c>
      <c r="C18" s="32">
        <v>45769</v>
      </c>
      <c r="D18" s="33">
        <v>8.47</v>
      </c>
      <c r="E18" s="33"/>
      <c r="F18" s="33">
        <v>8.89</v>
      </c>
      <c r="G18" s="34">
        <f>F18/D18-1</f>
        <v>0.0495867768595042</v>
      </c>
      <c r="H18" s="13" t="s">
        <v>47</v>
      </c>
      <c r="I18" s="33" t="s">
        <v>547</v>
      </c>
    </row>
    <row r="19" spans="1:9">
      <c r="A19" s="17" t="s">
        <v>146</v>
      </c>
      <c r="B19" s="19" t="s">
        <v>147</v>
      </c>
      <c r="C19" s="18">
        <v>45769</v>
      </c>
      <c r="D19" s="19">
        <v>8.12</v>
      </c>
      <c r="E19" s="18">
        <v>45775</v>
      </c>
      <c r="F19" s="19">
        <v>8.27</v>
      </c>
      <c r="G19" s="20">
        <f>F19/D19-1</f>
        <v>0.0184729064039408</v>
      </c>
      <c r="H19" s="25" t="s">
        <v>47</v>
      </c>
      <c r="I19" s="19" t="s">
        <v>548</v>
      </c>
    </row>
    <row r="20" spans="1:9">
      <c r="A20" s="17" t="s">
        <v>257</v>
      </c>
      <c r="B20" s="17" t="s">
        <v>258</v>
      </c>
      <c r="C20" s="18">
        <v>45770</v>
      </c>
      <c r="D20" s="19">
        <v>13.42</v>
      </c>
      <c r="E20" s="18">
        <v>45775</v>
      </c>
      <c r="F20" s="19">
        <v>13.19</v>
      </c>
      <c r="G20" s="20">
        <f>F20/D20-1</f>
        <v>-0.0171385991058123</v>
      </c>
      <c r="H20" s="19" t="s">
        <v>111</v>
      </c>
      <c r="I20" s="19" t="s">
        <v>549</v>
      </c>
    </row>
    <row r="21" spans="1:9">
      <c r="A21" s="17" t="s">
        <v>132</v>
      </c>
      <c r="B21" s="17" t="s">
        <v>133</v>
      </c>
      <c r="C21" s="18">
        <v>45770</v>
      </c>
      <c r="D21" s="19">
        <v>11.3</v>
      </c>
      <c r="E21" s="18">
        <v>45775</v>
      </c>
      <c r="F21" s="19">
        <v>11.3</v>
      </c>
      <c r="G21" s="20">
        <f>F21/D21-1</f>
        <v>0</v>
      </c>
      <c r="H21" s="19" t="s">
        <v>47</v>
      </c>
      <c r="I21" s="19" t="s">
        <v>550</v>
      </c>
    </row>
    <row r="22" s="28" customFormat="1" spans="1:9">
      <c r="A22" s="29" t="s">
        <v>219</v>
      </c>
      <c r="B22" s="29" t="s">
        <v>220</v>
      </c>
      <c r="C22" s="30"/>
      <c r="D22" s="30"/>
      <c r="E22" s="30"/>
      <c r="F22" s="30"/>
      <c r="G22" s="30"/>
      <c r="H22" s="30" t="s">
        <v>30</v>
      </c>
      <c r="I22" s="30" t="s">
        <v>551</v>
      </c>
    </row>
    <row r="23" customFormat="1" spans="1:9">
      <c r="A23" s="46"/>
      <c r="B23" s="46"/>
      <c r="C23" s="46"/>
      <c r="D23" s="46"/>
      <c r="E23" s="46"/>
      <c r="F23" s="46"/>
      <c r="G23" s="46"/>
      <c r="H23" s="46"/>
      <c r="I23" s="46"/>
    </row>
    <row r="24" spans="1:9">
      <c r="A24" s="27" t="s">
        <v>552</v>
      </c>
      <c r="B24" s="27"/>
      <c r="C24" s="27"/>
      <c r="D24" s="27"/>
      <c r="E24" s="27"/>
      <c r="F24" s="27"/>
      <c r="G24" s="27"/>
      <c r="H24" s="27"/>
      <c r="I24" s="27"/>
    </row>
    <row r="25" ht="15" spans="1:9">
      <c r="A25" s="9" t="s">
        <v>19</v>
      </c>
      <c r="B25" s="9" t="s">
        <v>20</v>
      </c>
      <c r="C25" s="9" t="s">
        <v>21</v>
      </c>
      <c r="D25" s="9" t="s">
        <v>22</v>
      </c>
      <c r="E25" s="9" t="s">
        <v>23</v>
      </c>
      <c r="F25" s="9" t="s">
        <v>545</v>
      </c>
      <c r="G25" s="9" t="s">
        <v>25</v>
      </c>
      <c r="H25" s="9" t="s">
        <v>26</v>
      </c>
      <c r="I25" s="10" t="s">
        <v>27</v>
      </c>
    </row>
    <row r="26" spans="1:9">
      <c r="A26" s="17" t="s">
        <v>199</v>
      </c>
      <c r="B26" s="17" t="s">
        <v>200</v>
      </c>
      <c r="C26" s="18">
        <v>45777</v>
      </c>
      <c r="D26" s="19">
        <v>35.75</v>
      </c>
      <c r="E26" s="18">
        <v>45796</v>
      </c>
      <c r="F26" s="19">
        <v>35.65</v>
      </c>
      <c r="G26" s="20">
        <f t="shared" ref="G26:G29" si="0">F26/D26-1</f>
        <v>-0.00279720279720286</v>
      </c>
      <c r="H26" s="17" t="s">
        <v>111</v>
      </c>
      <c r="I26" s="19" t="s">
        <v>553</v>
      </c>
    </row>
    <row r="27" spans="1:9">
      <c r="A27" s="17" t="s">
        <v>257</v>
      </c>
      <c r="B27" s="17" t="s">
        <v>258</v>
      </c>
      <c r="C27" s="18">
        <v>45777</v>
      </c>
      <c r="D27" s="19">
        <v>13.62</v>
      </c>
      <c r="E27" s="18">
        <v>45796</v>
      </c>
      <c r="F27" s="19">
        <v>15</v>
      </c>
      <c r="G27" s="20">
        <f t="shared" si="0"/>
        <v>0.101321585903084</v>
      </c>
      <c r="H27" s="17" t="s">
        <v>111</v>
      </c>
      <c r="I27" s="19" t="s">
        <v>554</v>
      </c>
    </row>
    <row r="28" spans="1:9">
      <c r="A28" s="17" t="s">
        <v>69</v>
      </c>
      <c r="B28" s="17" t="s">
        <v>70</v>
      </c>
      <c r="C28" s="18">
        <v>45783</v>
      </c>
      <c r="D28" s="19">
        <v>9.65</v>
      </c>
      <c r="E28" s="18">
        <v>45789</v>
      </c>
      <c r="F28" s="19">
        <v>9.95</v>
      </c>
      <c r="G28" s="20">
        <f t="shared" si="0"/>
        <v>0.0310880829015543</v>
      </c>
      <c r="H28" s="19" t="s">
        <v>47</v>
      </c>
      <c r="I28" s="19" t="s">
        <v>555</v>
      </c>
    </row>
    <row r="29" spans="1:9">
      <c r="A29" s="17" t="s">
        <v>371</v>
      </c>
      <c r="B29" s="17" t="s">
        <v>372</v>
      </c>
      <c r="C29" s="18">
        <v>45784</v>
      </c>
      <c r="D29" s="19">
        <v>2.88</v>
      </c>
      <c r="E29" s="18">
        <v>45786</v>
      </c>
      <c r="F29" s="19">
        <v>2.74</v>
      </c>
      <c r="G29" s="20">
        <f t="shared" si="0"/>
        <v>-0.048611111111111</v>
      </c>
      <c r="H29" s="19" t="s">
        <v>30</v>
      </c>
      <c r="I29" s="19" t="s">
        <v>556</v>
      </c>
    </row>
    <row r="30" s="28" customFormat="1" spans="1:9">
      <c r="A30" s="29" t="s">
        <v>69</v>
      </c>
      <c r="B30" s="30" t="s">
        <v>70</v>
      </c>
      <c r="C30" s="47"/>
      <c r="D30" s="30"/>
      <c r="E30" s="30"/>
      <c r="F30" s="30"/>
      <c r="G30" s="30"/>
      <c r="H30" s="29" t="s">
        <v>30</v>
      </c>
      <c r="I30" s="30" t="s">
        <v>557</v>
      </c>
    </row>
    <row r="31" spans="1:9">
      <c r="A31" s="17" t="s">
        <v>72</v>
      </c>
      <c r="B31" s="17" t="s">
        <v>73</v>
      </c>
      <c r="C31" s="18">
        <v>45791</v>
      </c>
      <c r="D31" s="19">
        <v>18</v>
      </c>
      <c r="E31" s="18">
        <v>45792</v>
      </c>
      <c r="F31" s="19">
        <v>17.6</v>
      </c>
      <c r="G31" s="20">
        <f>F31/D31-1</f>
        <v>-0.0222222222222221</v>
      </c>
      <c r="H31" s="17" t="s">
        <v>47</v>
      </c>
      <c r="I31" s="19" t="s">
        <v>558</v>
      </c>
    </row>
    <row r="32" spans="1:9">
      <c r="A32" s="29" t="s">
        <v>78</v>
      </c>
      <c r="B32" s="29" t="s">
        <v>79</v>
      </c>
      <c r="C32" s="30"/>
      <c r="D32" s="30"/>
      <c r="E32" s="30"/>
      <c r="F32" s="30"/>
      <c r="G32" s="30"/>
      <c r="H32" s="29" t="s">
        <v>111</v>
      </c>
      <c r="I32" s="30" t="s">
        <v>559</v>
      </c>
    </row>
    <row r="33" spans="1:9">
      <c r="A33" s="17" t="s">
        <v>219</v>
      </c>
      <c r="B33" s="17" t="s">
        <v>220</v>
      </c>
      <c r="C33" s="18">
        <v>45797</v>
      </c>
      <c r="D33" s="19">
        <v>2.68</v>
      </c>
      <c r="E33" s="18">
        <v>45800</v>
      </c>
      <c r="F33" s="19">
        <v>2.59</v>
      </c>
      <c r="G33" s="20">
        <f t="shared" ref="G33:G69" si="1">F33/D33-1</f>
        <v>-0.033582089552239</v>
      </c>
      <c r="H33" s="17" t="s">
        <v>30</v>
      </c>
      <c r="I33" s="19" t="s">
        <v>560</v>
      </c>
    </row>
    <row r="34" spans="1:9">
      <c r="A34" s="17" t="s">
        <v>69</v>
      </c>
      <c r="B34" s="17" t="s">
        <v>70</v>
      </c>
      <c r="C34" s="18">
        <v>45803</v>
      </c>
      <c r="D34" s="19">
        <v>9.6</v>
      </c>
      <c r="E34" s="18">
        <v>45804</v>
      </c>
      <c r="F34" s="19">
        <v>9.44</v>
      </c>
      <c r="G34" s="20">
        <f t="shared" si="1"/>
        <v>-0.0166666666666667</v>
      </c>
      <c r="H34" s="17" t="s">
        <v>30</v>
      </c>
      <c r="I34" s="19" t="s">
        <v>561</v>
      </c>
    </row>
    <row r="35" spans="1:9">
      <c r="A35" s="17" t="s">
        <v>214</v>
      </c>
      <c r="B35" s="17" t="s">
        <v>215</v>
      </c>
      <c r="C35" s="18">
        <v>45812</v>
      </c>
      <c r="D35" s="19">
        <v>4.08</v>
      </c>
      <c r="E35" s="18">
        <v>45826</v>
      </c>
      <c r="F35" s="19">
        <v>4.03</v>
      </c>
      <c r="G35" s="20">
        <f t="shared" si="1"/>
        <v>-0.0122549019607843</v>
      </c>
      <c r="H35" s="19" t="s">
        <v>47</v>
      </c>
      <c r="I35" s="19" t="s">
        <v>562</v>
      </c>
    </row>
    <row r="36" spans="1:9">
      <c r="A36" s="17" t="s">
        <v>219</v>
      </c>
      <c r="B36" s="17" t="s">
        <v>220</v>
      </c>
      <c r="C36" s="18">
        <v>45813</v>
      </c>
      <c r="D36" s="19">
        <v>2.65</v>
      </c>
      <c r="E36" s="18">
        <v>45821</v>
      </c>
      <c r="F36" s="19">
        <v>2.6</v>
      </c>
      <c r="G36" s="20">
        <f t="shared" si="1"/>
        <v>-0.0188679245283018</v>
      </c>
      <c r="H36" s="17" t="s">
        <v>30</v>
      </c>
      <c r="I36" s="19" t="s">
        <v>563</v>
      </c>
    </row>
    <row r="37" spans="1:9">
      <c r="A37" s="17" t="s">
        <v>105</v>
      </c>
      <c r="B37" s="17" t="s">
        <v>106</v>
      </c>
      <c r="C37" s="18">
        <v>45813</v>
      </c>
      <c r="D37" s="19">
        <v>4.32</v>
      </c>
      <c r="E37" s="18">
        <v>45827</v>
      </c>
      <c r="F37" s="19">
        <v>4.22</v>
      </c>
      <c r="G37" s="20">
        <f t="shared" si="1"/>
        <v>-0.0231481481481483</v>
      </c>
      <c r="H37" s="19" t="s">
        <v>47</v>
      </c>
      <c r="I37" s="19" t="s">
        <v>564</v>
      </c>
    </row>
    <row r="38" spans="1:9">
      <c r="A38" s="17" t="s">
        <v>69</v>
      </c>
      <c r="B38" s="17" t="s">
        <v>70</v>
      </c>
      <c r="C38" s="18">
        <v>45818</v>
      </c>
      <c r="D38" s="19">
        <v>9.71</v>
      </c>
      <c r="E38" s="18">
        <v>45827</v>
      </c>
      <c r="F38" s="19">
        <v>9.36</v>
      </c>
      <c r="G38" s="20">
        <f t="shared" si="1"/>
        <v>-0.036045314109166</v>
      </c>
      <c r="H38" s="17" t="s">
        <v>30</v>
      </c>
      <c r="I38" s="19" t="s">
        <v>565</v>
      </c>
    </row>
    <row r="39" spans="1:9">
      <c r="A39" s="17" t="s">
        <v>78</v>
      </c>
      <c r="B39" s="17" t="s">
        <v>79</v>
      </c>
      <c r="C39" s="18">
        <v>45818</v>
      </c>
      <c r="D39" s="19">
        <v>14.89</v>
      </c>
      <c r="E39" s="18">
        <v>45821</v>
      </c>
      <c r="F39" s="19">
        <v>14.5</v>
      </c>
      <c r="G39" s="20">
        <f t="shared" si="1"/>
        <v>-0.0261920752182674</v>
      </c>
      <c r="H39" s="17" t="s">
        <v>111</v>
      </c>
      <c r="I39" s="19" t="s">
        <v>566</v>
      </c>
    </row>
    <row r="40" spans="1:9">
      <c r="A40" s="17" t="s">
        <v>99</v>
      </c>
      <c r="B40" s="17" t="s">
        <v>100</v>
      </c>
      <c r="C40" s="18">
        <v>45824</v>
      </c>
      <c r="D40" s="19">
        <v>6.84</v>
      </c>
      <c r="E40" s="18">
        <v>45827</v>
      </c>
      <c r="F40" s="19">
        <v>7</v>
      </c>
      <c r="G40" s="20">
        <f t="shared" si="1"/>
        <v>0.0233918128654971</v>
      </c>
      <c r="H40" s="17" t="s">
        <v>111</v>
      </c>
      <c r="I40" s="19" t="s">
        <v>567</v>
      </c>
    </row>
    <row r="41" spans="1:9">
      <c r="A41" s="17" t="s">
        <v>122</v>
      </c>
      <c r="B41" s="17" t="s">
        <v>123</v>
      </c>
      <c r="C41" s="18">
        <v>45833</v>
      </c>
      <c r="D41" s="19">
        <v>28.19</v>
      </c>
      <c r="E41" s="18">
        <v>45835</v>
      </c>
      <c r="F41" s="19">
        <v>30.13</v>
      </c>
      <c r="G41" s="20">
        <f t="shared" si="1"/>
        <v>0.0688187300461156</v>
      </c>
      <c r="H41" s="19" t="s">
        <v>47</v>
      </c>
      <c r="I41" s="19" t="s">
        <v>568</v>
      </c>
    </row>
    <row r="42" spans="1:9">
      <c r="A42" s="17" t="s">
        <v>32</v>
      </c>
      <c r="B42" s="17" t="s">
        <v>33</v>
      </c>
      <c r="C42" s="18">
        <v>45833</v>
      </c>
      <c r="D42" s="19">
        <v>31.29</v>
      </c>
      <c r="E42" s="18">
        <v>45845</v>
      </c>
      <c r="F42" s="19">
        <v>32.47</v>
      </c>
      <c r="G42" s="20">
        <f t="shared" si="1"/>
        <v>0.0377117289868967</v>
      </c>
      <c r="H42" s="19" t="s">
        <v>47</v>
      </c>
      <c r="I42" s="19" t="s">
        <v>569</v>
      </c>
    </row>
    <row r="43" spans="1:9">
      <c r="A43" s="17" t="s">
        <v>202</v>
      </c>
      <c r="B43" s="17" t="s">
        <v>203</v>
      </c>
      <c r="C43" s="18">
        <v>45834</v>
      </c>
      <c r="D43" s="19">
        <v>83.6</v>
      </c>
      <c r="E43" s="18">
        <v>45840</v>
      </c>
      <c r="F43" s="19">
        <v>81.8</v>
      </c>
      <c r="G43" s="20">
        <f t="shared" si="1"/>
        <v>-0.0215311004784688</v>
      </c>
      <c r="H43" s="17" t="s">
        <v>30</v>
      </c>
      <c r="I43" s="19" t="s">
        <v>570</v>
      </c>
    </row>
    <row r="44" spans="1:9">
      <c r="A44" s="17" t="s">
        <v>69</v>
      </c>
      <c r="B44" s="17" t="s">
        <v>70</v>
      </c>
      <c r="C44" s="18">
        <v>45838</v>
      </c>
      <c r="D44" s="19">
        <v>9.91</v>
      </c>
      <c r="E44" s="18">
        <v>45845</v>
      </c>
      <c r="F44" s="19">
        <v>10.34</v>
      </c>
      <c r="G44" s="20">
        <f t="shared" si="1"/>
        <v>0.0433905146316851</v>
      </c>
      <c r="H44" s="17" t="s">
        <v>30</v>
      </c>
      <c r="I44" s="19" t="s">
        <v>571</v>
      </c>
    </row>
    <row r="45" spans="1:9">
      <c r="A45" s="17" t="s">
        <v>113</v>
      </c>
      <c r="B45" s="17" t="s">
        <v>114</v>
      </c>
      <c r="C45" s="18">
        <v>45838</v>
      </c>
      <c r="D45" s="19">
        <v>28.78</v>
      </c>
      <c r="E45" s="18">
        <v>45840</v>
      </c>
      <c r="F45" s="19">
        <v>28.22</v>
      </c>
      <c r="G45" s="20">
        <f t="shared" si="1"/>
        <v>-0.019457956914524</v>
      </c>
      <c r="H45" s="17" t="s">
        <v>30</v>
      </c>
      <c r="I45" s="19" t="s">
        <v>572</v>
      </c>
    </row>
    <row r="46" spans="1:9">
      <c r="A46" s="17" t="s">
        <v>75</v>
      </c>
      <c r="B46" s="17" t="s">
        <v>76</v>
      </c>
      <c r="C46" s="18">
        <v>45841</v>
      </c>
      <c r="D46" s="19">
        <v>7.93</v>
      </c>
      <c r="E46" s="18">
        <v>45845</v>
      </c>
      <c r="F46" s="19">
        <v>7.82</v>
      </c>
      <c r="G46" s="20">
        <f t="shared" si="1"/>
        <v>-0.0138713745271122</v>
      </c>
      <c r="H46" s="17" t="s">
        <v>111</v>
      </c>
      <c r="I46" s="19" t="s">
        <v>573</v>
      </c>
    </row>
    <row r="47" spans="1:9">
      <c r="A47" s="17" t="s">
        <v>78</v>
      </c>
      <c r="B47" s="17" t="s">
        <v>79</v>
      </c>
      <c r="C47" s="18">
        <v>45845</v>
      </c>
      <c r="D47" s="19">
        <v>16.45</v>
      </c>
      <c r="E47" s="18">
        <v>45849</v>
      </c>
      <c r="F47" s="19">
        <v>16.97</v>
      </c>
      <c r="G47" s="20">
        <f t="shared" si="1"/>
        <v>0.0316109422492401</v>
      </c>
      <c r="H47" s="17" t="s">
        <v>111</v>
      </c>
      <c r="I47" s="19" t="s">
        <v>574</v>
      </c>
    </row>
    <row r="48" spans="1:9">
      <c r="A48" s="17" t="s">
        <v>108</v>
      </c>
      <c r="B48" s="17" t="s">
        <v>109</v>
      </c>
      <c r="C48" s="18">
        <v>45841</v>
      </c>
      <c r="D48" s="19">
        <v>15.11</v>
      </c>
      <c r="E48" s="18">
        <v>45852</v>
      </c>
      <c r="F48" s="19">
        <v>18.57</v>
      </c>
      <c r="G48" s="20">
        <f t="shared" si="1"/>
        <v>0.228987425545996</v>
      </c>
      <c r="H48" s="17" t="s">
        <v>47</v>
      </c>
      <c r="I48" s="19" t="s">
        <v>575</v>
      </c>
    </row>
    <row r="49" spans="1:9">
      <c r="A49" s="17" t="s">
        <v>113</v>
      </c>
      <c r="B49" s="17" t="s">
        <v>114</v>
      </c>
      <c r="C49" s="18">
        <v>45854</v>
      </c>
      <c r="D49" s="19">
        <v>28.83</v>
      </c>
      <c r="E49" s="18">
        <v>45873</v>
      </c>
      <c r="F49" s="19">
        <v>30.82</v>
      </c>
      <c r="G49" s="20">
        <f t="shared" si="1"/>
        <v>0.0690253208463407</v>
      </c>
      <c r="H49" s="17" t="s">
        <v>30</v>
      </c>
      <c r="I49" s="19" t="s">
        <v>576</v>
      </c>
    </row>
    <row r="50" spans="1:9">
      <c r="A50" s="17" t="s">
        <v>99</v>
      </c>
      <c r="B50" s="17" t="s">
        <v>100</v>
      </c>
      <c r="C50" s="18">
        <v>45880</v>
      </c>
      <c r="D50" s="19">
        <v>6.65</v>
      </c>
      <c r="E50" s="18">
        <v>45883</v>
      </c>
      <c r="F50" s="19">
        <v>6.56</v>
      </c>
      <c r="G50" s="20">
        <f t="shared" si="1"/>
        <v>-0.0135338345864663</v>
      </c>
      <c r="H50" s="17" t="s">
        <v>30</v>
      </c>
      <c r="I50" s="19" t="s">
        <v>577</v>
      </c>
    </row>
    <row r="51" spans="1:9">
      <c r="A51" s="17" t="s">
        <v>99</v>
      </c>
      <c r="B51" s="17" t="s">
        <v>100</v>
      </c>
      <c r="C51" s="18">
        <v>45887</v>
      </c>
      <c r="D51" s="19">
        <v>6.94</v>
      </c>
      <c r="E51" s="18">
        <v>45909</v>
      </c>
      <c r="F51" s="19">
        <v>7.51</v>
      </c>
      <c r="G51" s="20">
        <f t="shared" si="1"/>
        <v>0.0821325648414986</v>
      </c>
      <c r="H51" s="17" t="s">
        <v>47</v>
      </c>
      <c r="I51" s="19" t="s">
        <v>578</v>
      </c>
    </row>
    <row r="52" spans="1:9">
      <c r="A52" s="17" t="s">
        <v>105</v>
      </c>
      <c r="B52" s="17" t="s">
        <v>106</v>
      </c>
      <c r="C52" s="18">
        <v>45889</v>
      </c>
      <c r="D52" s="19">
        <v>4.71</v>
      </c>
      <c r="E52" s="18">
        <v>45896</v>
      </c>
      <c r="F52" s="19">
        <v>4.6</v>
      </c>
      <c r="G52" s="20">
        <f t="shared" si="1"/>
        <v>-0.0233545647558387</v>
      </c>
      <c r="H52" s="17" t="s">
        <v>55</v>
      </c>
      <c r="I52" s="19" t="s">
        <v>579</v>
      </c>
    </row>
    <row r="53" spans="1:9">
      <c r="A53" s="17" t="s">
        <v>260</v>
      </c>
      <c r="B53" s="17" t="s">
        <v>261</v>
      </c>
      <c r="C53" s="18">
        <v>45895</v>
      </c>
      <c r="D53" s="19">
        <v>23.81</v>
      </c>
      <c r="E53" s="18">
        <v>45896</v>
      </c>
      <c r="F53" s="19">
        <v>23.17</v>
      </c>
      <c r="G53" s="20">
        <f t="shared" si="1"/>
        <v>-0.0268794624107517</v>
      </c>
      <c r="H53" s="17" t="s">
        <v>30</v>
      </c>
      <c r="I53" s="19" t="s">
        <v>580</v>
      </c>
    </row>
    <row r="54" spans="1:9">
      <c r="A54" s="17" t="s">
        <v>32</v>
      </c>
      <c r="B54" s="17" t="s">
        <v>33</v>
      </c>
      <c r="C54" s="18">
        <v>45908</v>
      </c>
      <c r="D54" s="19">
        <v>36.47</v>
      </c>
      <c r="E54" s="18">
        <v>45923</v>
      </c>
      <c r="F54" s="19">
        <v>33.7</v>
      </c>
      <c r="G54" s="20">
        <f t="shared" si="1"/>
        <v>-0.0759528379489991</v>
      </c>
      <c r="H54" s="17" t="s">
        <v>55</v>
      </c>
      <c r="I54" s="19" t="s">
        <v>581</v>
      </c>
    </row>
    <row r="55" spans="1:9">
      <c r="A55" s="17" t="s">
        <v>282</v>
      </c>
      <c r="B55" s="17" t="s">
        <v>283</v>
      </c>
      <c r="C55" s="18">
        <v>45916</v>
      </c>
      <c r="D55" s="19">
        <v>8.11</v>
      </c>
      <c r="E55" s="18">
        <v>45918</v>
      </c>
      <c r="F55" s="19">
        <v>7.82</v>
      </c>
      <c r="G55" s="20">
        <f t="shared" si="1"/>
        <v>-0.035758323057953</v>
      </c>
      <c r="H55" s="17" t="s">
        <v>55</v>
      </c>
      <c r="I55" s="19" t="s">
        <v>582</v>
      </c>
    </row>
    <row r="56" spans="1:9">
      <c r="A56" s="17" t="s">
        <v>222</v>
      </c>
      <c r="B56" s="17" t="s">
        <v>223</v>
      </c>
      <c r="C56" s="18">
        <v>45940</v>
      </c>
      <c r="D56" s="19">
        <v>7.62</v>
      </c>
      <c r="E56" s="18">
        <v>45965</v>
      </c>
      <c r="F56" s="19">
        <v>7.64</v>
      </c>
      <c r="G56" s="20">
        <f t="shared" si="1"/>
        <v>0.00262467191601035</v>
      </c>
      <c r="H56" s="19" t="s">
        <v>47</v>
      </c>
      <c r="I56" s="19" t="s">
        <v>583</v>
      </c>
    </row>
    <row r="57" spans="1:9">
      <c r="A57" s="17" t="s">
        <v>276</v>
      </c>
      <c r="B57" s="17" t="s">
        <v>277</v>
      </c>
      <c r="C57" s="18">
        <v>45943</v>
      </c>
      <c r="D57" s="19">
        <v>6.6</v>
      </c>
      <c r="E57" s="18">
        <v>45974</v>
      </c>
      <c r="F57" s="19">
        <v>6.77</v>
      </c>
      <c r="G57" s="20">
        <f t="shared" si="1"/>
        <v>0.0257575757575756</v>
      </c>
      <c r="H57" s="19" t="s">
        <v>47</v>
      </c>
      <c r="I57" s="19" t="s">
        <v>584</v>
      </c>
    </row>
    <row r="58" spans="1:9">
      <c r="A58" s="17" t="s">
        <v>282</v>
      </c>
      <c r="B58" s="17" t="s">
        <v>283</v>
      </c>
      <c r="C58" s="18">
        <v>45951</v>
      </c>
      <c r="D58" s="19">
        <v>7.44</v>
      </c>
      <c r="E58" s="18">
        <v>45958</v>
      </c>
      <c r="F58" s="19">
        <v>7.32</v>
      </c>
      <c r="G58" s="20">
        <f t="shared" si="1"/>
        <v>-0.0161290322580645</v>
      </c>
      <c r="H58" s="17" t="s">
        <v>55</v>
      </c>
      <c r="I58" s="19" t="s">
        <v>585</v>
      </c>
    </row>
    <row r="59" spans="1:9">
      <c r="A59" s="17" t="s">
        <v>263</v>
      </c>
      <c r="B59" s="17" t="s">
        <v>264</v>
      </c>
      <c r="C59" s="18">
        <v>45971</v>
      </c>
      <c r="D59" s="19">
        <v>4.34</v>
      </c>
      <c r="E59" s="18">
        <v>45979</v>
      </c>
      <c r="F59" s="19">
        <v>4.3</v>
      </c>
      <c r="G59" s="20">
        <f t="shared" si="1"/>
        <v>-0.00921658986175111</v>
      </c>
      <c r="H59" s="17" t="s">
        <v>55</v>
      </c>
      <c r="I59" s="19" t="s">
        <v>265</v>
      </c>
    </row>
    <row r="60" spans="1:9">
      <c r="A60" s="17" t="s">
        <v>202</v>
      </c>
      <c r="B60" s="17" t="s">
        <v>203</v>
      </c>
      <c r="C60" s="18">
        <v>45972</v>
      </c>
      <c r="D60" s="19">
        <v>73.33</v>
      </c>
      <c r="E60" s="18">
        <v>45978</v>
      </c>
      <c r="F60" s="19">
        <v>71.21</v>
      </c>
      <c r="G60" s="20">
        <f t="shared" si="1"/>
        <v>-0.02891040501841</v>
      </c>
      <c r="H60" s="17" t="s">
        <v>111</v>
      </c>
      <c r="I60" s="19" t="s">
        <v>586</v>
      </c>
    </row>
    <row r="61" spans="1:9">
      <c r="A61" s="17" t="s">
        <v>441</v>
      </c>
      <c r="B61" s="17" t="s">
        <v>442</v>
      </c>
      <c r="C61" s="18">
        <v>46003</v>
      </c>
      <c r="D61" s="19">
        <v>2.97</v>
      </c>
      <c r="E61" s="18">
        <v>46014</v>
      </c>
      <c r="F61" s="19">
        <v>3.07</v>
      </c>
      <c r="G61" s="20">
        <f t="shared" si="1"/>
        <v>0.0336700336700335</v>
      </c>
      <c r="H61" s="17" t="s">
        <v>111</v>
      </c>
      <c r="I61" s="19" t="s">
        <v>587</v>
      </c>
    </row>
    <row r="62" spans="1:9">
      <c r="A62" s="17" t="s">
        <v>276</v>
      </c>
      <c r="B62" s="17" t="s">
        <v>277</v>
      </c>
      <c r="C62" s="18">
        <v>46008</v>
      </c>
      <c r="D62" s="19">
        <v>6.42</v>
      </c>
      <c r="E62" s="18">
        <v>46013</v>
      </c>
      <c r="F62" s="19">
        <v>6.55</v>
      </c>
      <c r="G62" s="20">
        <f t="shared" si="1"/>
        <v>0.0202492211838006</v>
      </c>
      <c r="H62" s="19" t="s">
        <v>47</v>
      </c>
      <c r="I62" s="19" t="s">
        <v>588</v>
      </c>
    </row>
    <row r="63" spans="1:9">
      <c r="A63" s="17" t="s">
        <v>589</v>
      </c>
      <c r="B63" s="17" t="s">
        <v>590</v>
      </c>
      <c r="C63" s="18">
        <v>46009</v>
      </c>
      <c r="D63" s="19">
        <v>17.81</v>
      </c>
      <c r="E63" s="18">
        <v>46016</v>
      </c>
      <c r="F63" s="19">
        <v>18.85</v>
      </c>
      <c r="G63" s="20">
        <f t="shared" si="1"/>
        <v>0.0583941605839418</v>
      </c>
      <c r="H63" s="19" t="s">
        <v>47</v>
      </c>
      <c r="I63" s="19" t="s">
        <v>591</v>
      </c>
    </row>
    <row r="64" spans="1:9">
      <c r="A64" s="17" t="s">
        <v>592</v>
      </c>
      <c r="B64" s="17" t="s">
        <v>593</v>
      </c>
      <c r="C64" s="18">
        <v>46009</v>
      </c>
      <c r="D64" s="19">
        <v>11.7</v>
      </c>
      <c r="E64" s="18">
        <v>46016</v>
      </c>
      <c r="F64" s="19">
        <v>11.83</v>
      </c>
      <c r="G64" s="20">
        <f t="shared" si="1"/>
        <v>0.0111111111111111</v>
      </c>
      <c r="H64" s="19" t="s">
        <v>55</v>
      </c>
      <c r="I64" s="19" t="s">
        <v>594</v>
      </c>
    </row>
    <row r="65" spans="1:9">
      <c r="A65" s="17" t="s">
        <v>302</v>
      </c>
      <c r="B65" s="17" t="s">
        <v>303</v>
      </c>
      <c r="C65" s="18">
        <v>46034</v>
      </c>
      <c r="D65" s="19">
        <v>10.82</v>
      </c>
      <c r="E65" s="18">
        <v>46036</v>
      </c>
      <c r="F65" s="19">
        <v>10.7</v>
      </c>
      <c r="G65" s="20">
        <f t="shared" si="1"/>
        <v>-0.0110905730129391</v>
      </c>
      <c r="H65" s="17" t="s">
        <v>271</v>
      </c>
      <c r="I65" s="19" t="s">
        <v>595</v>
      </c>
    </row>
    <row r="66" spans="1:9">
      <c r="A66" s="17" t="s">
        <v>288</v>
      </c>
      <c r="B66" s="17" t="s">
        <v>289</v>
      </c>
      <c r="C66" s="18">
        <v>46125</v>
      </c>
      <c r="D66" s="19">
        <v>12.39</v>
      </c>
      <c r="E66" s="18">
        <v>46127</v>
      </c>
      <c r="F66" s="19">
        <v>12.03</v>
      </c>
      <c r="G66" s="20">
        <f t="shared" si="1"/>
        <v>-0.0290556900726393</v>
      </c>
      <c r="H66" s="19" t="s">
        <v>47</v>
      </c>
      <c r="I66" s="19" t="s">
        <v>596</v>
      </c>
    </row>
    <row r="67" spans="1:9">
      <c r="A67" s="17" t="s">
        <v>302</v>
      </c>
      <c r="B67" s="17" t="s">
        <v>303</v>
      </c>
      <c r="C67" s="18">
        <v>46154</v>
      </c>
      <c r="D67" s="19">
        <v>10.45</v>
      </c>
      <c r="E67" s="18">
        <v>46156</v>
      </c>
      <c r="F67" s="19">
        <v>10.31</v>
      </c>
      <c r="G67" s="20">
        <f t="shared" si="1"/>
        <v>-0.0133971291866027</v>
      </c>
      <c r="H67" s="17" t="s">
        <v>271</v>
      </c>
      <c r="I67" s="19" t="s">
        <v>597</v>
      </c>
    </row>
    <row r="68" spans="1:9">
      <c r="A68" s="17" t="s">
        <v>598</v>
      </c>
      <c r="B68" s="17" t="s">
        <v>599</v>
      </c>
      <c r="C68" s="18">
        <v>46175</v>
      </c>
      <c r="D68" s="19">
        <v>12.36</v>
      </c>
      <c r="E68" s="18">
        <v>46177</v>
      </c>
      <c r="F68" s="19">
        <v>11.79</v>
      </c>
      <c r="G68" s="20">
        <f t="shared" si="1"/>
        <v>-0.0461165048543689</v>
      </c>
      <c r="H68" s="17" t="s">
        <v>111</v>
      </c>
      <c r="I68" s="19" t="s">
        <v>600</v>
      </c>
    </row>
    <row r="69" spans="1:9">
      <c r="A69" s="17" t="s">
        <v>81</v>
      </c>
      <c r="B69" s="17" t="s">
        <v>82</v>
      </c>
      <c r="C69" s="18">
        <v>46177</v>
      </c>
      <c r="D69" s="19">
        <v>39.26</v>
      </c>
      <c r="E69" s="18">
        <v>46181</v>
      </c>
      <c r="F69" s="19">
        <v>37</v>
      </c>
      <c r="G69" s="20">
        <f t="shared" si="1"/>
        <v>-0.0575649516046867</v>
      </c>
      <c r="H69" s="17" t="s">
        <v>111</v>
      </c>
      <c r="I69" s="19" t="s">
        <v>601</v>
      </c>
    </row>
  </sheetData>
  <mergeCells count="20">
    <mergeCell ref="A1:G1"/>
    <mergeCell ref="A2:G2"/>
    <mergeCell ref="A3:G3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A24:I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55"/>
  <sheetViews>
    <sheetView topLeftCell="A19" workbookViewId="0">
      <selection activeCell="C59" sqref="C59"/>
    </sheetView>
  </sheetViews>
  <sheetFormatPr defaultColWidth="9" defaultRowHeight="13.5"/>
  <cols>
    <col min="1" max="1" width="17.5" customWidth="1"/>
    <col min="2" max="2" width="22.25" customWidth="1"/>
    <col min="3" max="3" width="20.125" customWidth="1"/>
    <col min="4" max="4" width="19.25" customWidth="1"/>
    <col min="5" max="5" width="16" customWidth="1"/>
    <col min="6" max="6" width="16.125" customWidth="1"/>
    <col min="7" max="7" width="11.625" customWidth="1"/>
    <col min="9" max="9" width="61.62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2" t="s">
        <v>2</v>
      </c>
      <c r="B3" s="2"/>
      <c r="C3" s="2"/>
      <c r="D3" s="2"/>
      <c r="E3" s="2"/>
      <c r="F3" s="2"/>
      <c r="G3" s="2"/>
    </row>
    <row r="5" spans="1:9">
      <c r="A5" s="1" t="s">
        <v>3</v>
      </c>
      <c r="B5" s="1" t="s">
        <v>4</v>
      </c>
      <c r="C5" s="1"/>
      <c r="D5" s="1" t="s">
        <v>5</v>
      </c>
      <c r="E5" s="1"/>
      <c r="F5" s="1"/>
      <c r="G5" s="1"/>
    </row>
    <row r="6" spans="1:9">
      <c r="A6" s="3" t="s">
        <v>6</v>
      </c>
      <c r="B6" s="39" t="s">
        <v>7</v>
      </c>
      <c r="C6" s="39"/>
      <c r="D6" s="3" t="s">
        <v>8</v>
      </c>
      <c r="E6" s="3"/>
      <c r="F6" s="3"/>
      <c r="G6" s="3"/>
    </row>
    <row r="7" spans="1:9">
      <c r="A7" s="3" t="s">
        <v>9</v>
      </c>
      <c r="B7" s="3" t="s">
        <v>7</v>
      </c>
      <c r="C7" s="3"/>
      <c r="D7" s="3" t="s">
        <v>10</v>
      </c>
      <c r="E7" s="3"/>
      <c r="F7" s="3"/>
      <c r="G7" s="3"/>
    </row>
    <row r="8" spans="1:9">
      <c r="A8" s="3" t="s">
        <v>11</v>
      </c>
      <c r="B8" s="2" t="s">
        <v>12</v>
      </c>
      <c r="C8" s="2"/>
      <c r="D8" s="3" t="s">
        <v>13</v>
      </c>
      <c r="E8" s="3"/>
      <c r="F8" s="3"/>
      <c r="G8" s="3"/>
    </row>
    <row r="9" spans="1:9">
      <c r="A9" s="3" t="s">
        <v>536</v>
      </c>
      <c r="B9" s="3" t="s">
        <v>602</v>
      </c>
      <c r="C9" s="3"/>
      <c r="D9" s="3" t="s">
        <v>538</v>
      </c>
      <c r="E9" s="3"/>
      <c r="F9" s="3"/>
      <c r="G9" s="3"/>
    </row>
    <row r="10" spans="1:9">
      <c r="A10" s="3" t="s">
        <v>539</v>
      </c>
      <c r="B10" s="6" t="s">
        <v>540</v>
      </c>
      <c r="C10" s="8"/>
      <c r="D10" s="6" t="s">
        <v>541</v>
      </c>
      <c r="E10" s="7"/>
      <c r="F10" s="7"/>
      <c r="G10" s="8"/>
    </row>
    <row r="11" spans="1:9">
      <c r="A11" s="3" t="s">
        <v>542</v>
      </c>
      <c r="B11" s="6" t="s">
        <v>543</v>
      </c>
      <c r="C11" s="8"/>
      <c r="D11" s="6" t="s">
        <v>544</v>
      </c>
      <c r="E11" s="7"/>
      <c r="F11" s="7"/>
      <c r="G11" s="8"/>
    </row>
    <row r="12" spans="1:9">
      <c r="A12" s="3" t="s">
        <v>603</v>
      </c>
      <c r="B12" s="6" t="s">
        <v>604</v>
      </c>
      <c r="C12" s="8"/>
      <c r="D12" s="6" t="s">
        <v>605</v>
      </c>
      <c r="E12" s="7"/>
      <c r="F12" s="7"/>
      <c r="G12" s="8"/>
    </row>
    <row r="13" ht="51" customHeight="1" spans="1:9">
      <c r="A13" s="3" t="s">
        <v>16</v>
      </c>
      <c r="B13" s="2" t="s">
        <v>17</v>
      </c>
      <c r="C13" s="2"/>
      <c r="D13" s="3" t="s">
        <v>18</v>
      </c>
      <c r="E13" s="3"/>
      <c r="F13" s="3"/>
      <c r="G13" s="3"/>
    </row>
    <row r="15" ht="15" spans="1:9">
      <c r="A15" s="9" t="s">
        <v>19</v>
      </c>
      <c r="B15" s="9" t="s">
        <v>20</v>
      </c>
      <c r="C15" s="9" t="s">
        <v>21</v>
      </c>
      <c r="D15" s="9" t="s">
        <v>22</v>
      </c>
      <c r="E15" s="9" t="s">
        <v>23</v>
      </c>
      <c r="F15" s="9" t="s">
        <v>545</v>
      </c>
      <c r="G15" s="9" t="s">
        <v>25</v>
      </c>
      <c r="H15" s="9" t="s">
        <v>26</v>
      </c>
      <c r="I15" s="10" t="s">
        <v>27</v>
      </c>
    </row>
    <row r="16" spans="1:9">
      <c r="A16" s="17" t="s">
        <v>219</v>
      </c>
      <c r="B16" s="17" t="s">
        <v>220</v>
      </c>
      <c r="C16" s="24">
        <v>45762</v>
      </c>
      <c r="D16" s="25">
        <v>2.68</v>
      </c>
      <c r="E16" s="24">
        <v>45775</v>
      </c>
      <c r="F16" s="25">
        <v>2.6</v>
      </c>
      <c r="G16" s="26">
        <f t="shared" ref="G16:G23" si="0">F16/D16-1</f>
        <v>-0.0298507462686567</v>
      </c>
      <c r="H16" s="25" t="s">
        <v>30</v>
      </c>
      <c r="I16" s="25" t="s">
        <v>606</v>
      </c>
    </row>
    <row r="17" spans="1:9">
      <c r="A17" s="31" t="s">
        <v>141</v>
      </c>
      <c r="B17" s="31" t="s">
        <v>142</v>
      </c>
      <c r="C17" s="32">
        <v>45769</v>
      </c>
      <c r="D17" s="33">
        <v>8.47</v>
      </c>
      <c r="E17" s="33"/>
      <c r="F17" s="33">
        <v>8.89</v>
      </c>
      <c r="G17" s="34">
        <f t="shared" si="0"/>
        <v>0.0495867768595042</v>
      </c>
      <c r="H17" s="13" t="s">
        <v>47</v>
      </c>
      <c r="I17" s="33" t="s">
        <v>547</v>
      </c>
    </row>
    <row r="18" spans="1:9">
      <c r="A18" s="17" t="s">
        <v>257</v>
      </c>
      <c r="B18" s="17" t="s">
        <v>258</v>
      </c>
      <c r="C18" s="18">
        <v>45770</v>
      </c>
      <c r="D18" s="19">
        <v>13.42</v>
      </c>
      <c r="E18" s="24">
        <v>45775</v>
      </c>
      <c r="F18" s="19">
        <v>13.19</v>
      </c>
      <c r="G18" s="20">
        <f t="shared" si="0"/>
        <v>-0.0171385991058123</v>
      </c>
      <c r="H18" s="19" t="s">
        <v>111</v>
      </c>
      <c r="I18" s="19" t="s">
        <v>549</v>
      </c>
    </row>
    <row r="19" spans="1:9">
      <c r="A19" s="31" t="s">
        <v>302</v>
      </c>
      <c r="B19" s="31" t="s">
        <v>303</v>
      </c>
      <c r="C19" s="32">
        <v>45770</v>
      </c>
      <c r="D19" s="33">
        <v>10.17</v>
      </c>
      <c r="E19" s="33"/>
      <c r="F19" s="33">
        <v>10.07</v>
      </c>
      <c r="G19" s="34">
        <f t="shared" si="0"/>
        <v>-0.00983284169124876</v>
      </c>
      <c r="H19" s="33" t="s">
        <v>47</v>
      </c>
      <c r="I19" s="33" t="s">
        <v>607</v>
      </c>
    </row>
    <row r="20" spans="1:9">
      <c r="A20" s="17" t="s">
        <v>132</v>
      </c>
      <c r="B20" s="17" t="s">
        <v>133</v>
      </c>
      <c r="C20" s="18">
        <v>45770</v>
      </c>
      <c r="D20" s="19">
        <v>11.3</v>
      </c>
      <c r="E20" s="24">
        <v>45775</v>
      </c>
      <c r="F20" s="19">
        <v>11.3</v>
      </c>
      <c r="G20" s="20">
        <f t="shared" si="0"/>
        <v>0</v>
      </c>
      <c r="H20" s="19" t="s">
        <v>47</v>
      </c>
      <c r="I20" s="19" t="s">
        <v>608</v>
      </c>
    </row>
    <row r="21" spans="1:9">
      <c r="A21" s="31" t="s">
        <v>78</v>
      </c>
      <c r="B21" s="31" t="s">
        <v>79</v>
      </c>
      <c r="C21" s="32">
        <v>45771</v>
      </c>
      <c r="D21" s="33">
        <v>15</v>
      </c>
      <c r="E21" s="33"/>
      <c r="F21" s="33">
        <v>14.7</v>
      </c>
      <c r="G21" s="34">
        <f t="shared" si="0"/>
        <v>-0.02</v>
      </c>
      <c r="H21" s="31" t="s">
        <v>111</v>
      </c>
      <c r="I21" s="33" t="s">
        <v>609</v>
      </c>
    </row>
    <row r="22" spans="1:9">
      <c r="A22" s="31" t="s">
        <v>45</v>
      </c>
      <c r="B22" s="31" t="s">
        <v>46</v>
      </c>
      <c r="C22" s="32">
        <v>45771</v>
      </c>
      <c r="D22" s="33">
        <v>6.38</v>
      </c>
      <c r="E22" s="33"/>
      <c r="F22" s="33">
        <v>6.94</v>
      </c>
      <c r="G22" s="34">
        <f t="shared" si="0"/>
        <v>0.0877742946708464</v>
      </c>
      <c r="H22" s="31" t="s">
        <v>111</v>
      </c>
      <c r="I22" s="33" t="s">
        <v>610</v>
      </c>
    </row>
    <row r="23" spans="1:9">
      <c r="A23" s="17" t="s">
        <v>99</v>
      </c>
      <c r="B23" s="17" t="s">
        <v>100</v>
      </c>
      <c r="C23" s="18">
        <v>45772</v>
      </c>
      <c r="D23" s="19">
        <v>6.64</v>
      </c>
      <c r="E23" s="24">
        <v>45775</v>
      </c>
      <c r="F23" s="19">
        <v>6.56</v>
      </c>
      <c r="G23" s="20">
        <f t="shared" si="0"/>
        <v>-0.0120481927710844</v>
      </c>
      <c r="H23" s="17" t="s">
        <v>111</v>
      </c>
      <c r="I23" s="19" t="s">
        <v>611</v>
      </c>
    </row>
    <row r="25" spans="1:9">
      <c r="A25" s="27" t="s">
        <v>612</v>
      </c>
      <c r="B25" s="27"/>
      <c r="C25" s="27"/>
      <c r="D25" s="27"/>
      <c r="E25" s="27"/>
      <c r="F25" s="27"/>
      <c r="G25" s="27"/>
      <c r="H25" s="27"/>
      <c r="I25" s="27"/>
    </row>
    <row r="26" spans="1:9">
      <c r="A26" s="9" t="s">
        <v>19</v>
      </c>
      <c r="B26" s="9" t="s">
        <v>20</v>
      </c>
      <c r="C26" s="9" t="s">
        <v>21</v>
      </c>
      <c r="D26" s="9" t="s">
        <v>22</v>
      </c>
      <c r="E26" s="9" t="s">
        <v>23</v>
      </c>
      <c r="F26" s="9" t="s">
        <v>24</v>
      </c>
      <c r="G26" s="9" t="s">
        <v>25</v>
      </c>
      <c r="H26" s="9" t="s">
        <v>26</v>
      </c>
      <c r="I26" s="10" t="s">
        <v>27</v>
      </c>
    </row>
    <row r="27" spans="1:9">
      <c r="A27" s="17" t="s">
        <v>199</v>
      </c>
      <c r="B27" s="17" t="s">
        <v>200</v>
      </c>
      <c r="C27" s="18">
        <v>45777</v>
      </c>
      <c r="D27" s="19">
        <v>35.75</v>
      </c>
      <c r="E27" s="18">
        <v>45796</v>
      </c>
      <c r="F27" s="19">
        <v>35.65</v>
      </c>
      <c r="G27" s="20">
        <f t="shared" ref="G27:G55" si="1">F27/D27-1</f>
        <v>-0.00279720279720286</v>
      </c>
      <c r="H27" s="17" t="s">
        <v>111</v>
      </c>
      <c r="I27" s="19" t="s">
        <v>553</v>
      </c>
    </row>
    <row r="28" spans="1:9">
      <c r="A28" s="17" t="s">
        <v>113</v>
      </c>
      <c r="B28" s="17" t="s">
        <v>114</v>
      </c>
      <c r="C28" s="18">
        <v>45777</v>
      </c>
      <c r="D28" s="19">
        <v>28.92</v>
      </c>
      <c r="E28" s="18">
        <v>45793</v>
      </c>
      <c r="F28" s="19">
        <v>31.12</v>
      </c>
      <c r="G28" s="20">
        <f t="shared" si="1"/>
        <v>0.0760719225449515</v>
      </c>
      <c r="H28" s="17" t="s">
        <v>30</v>
      </c>
      <c r="I28" s="19" t="s">
        <v>613</v>
      </c>
    </row>
    <row r="29" spans="1:9">
      <c r="A29" s="17" t="s">
        <v>69</v>
      </c>
      <c r="B29" s="17" t="s">
        <v>70</v>
      </c>
      <c r="C29" s="18">
        <v>45783</v>
      </c>
      <c r="D29" s="19">
        <v>9.65</v>
      </c>
      <c r="E29" s="18">
        <v>45789</v>
      </c>
      <c r="F29" s="19">
        <v>9.95</v>
      </c>
      <c r="G29" s="20">
        <f t="shared" si="1"/>
        <v>0.0310880829015543</v>
      </c>
      <c r="H29" s="19" t="s">
        <v>47</v>
      </c>
      <c r="I29" s="19" t="s">
        <v>555</v>
      </c>
    </row>
    <row r="30" spans="1:9">
      <c r="A30" s="17" t="s">
        <v>122</v>
      </c>
      <c r="B30" s="17" t="s">
        <v>123</v>
      </c>
      <c r="C30" s="18">
        <v>45790</v>
      </c>
      <c r="D30" s="19">
        <v>29.25</v>
      </c>
      <c r="E30" s="18">
        <v>45792</v>
      </c>
      <c r="F30" s="19">
        <v>28.86</v>
      </c>
      <c r="G30" s="20">
        <f t="shared" si="1"/>
        <v>-0.0133333333333333</v>
      </c>
      <c r="H30" s="19" t="s">
        <v>47</v>
      </c>
      <c r="I30" s="19" t="s">
        <v>614</v>
      </c>
    </row>
    <row r="31" spans="1:9">
      <c r="A31" s="17" t="s">
        <v>219</v>
      </c>
      <c r="B31" s="17" t="s">
        <v>220</v>
      </c>
      <c r="C31" s="18">
        <v>45797</v>
      </c>
      <c r="D31" s="19">
        <v>2.68</v>
      </c>
      <c r="E31" s="18">
        <v>45800</v>
      </c>
      <c r="F31" s="19">
        <v>2.59</v>
      </c>
      <c r="G31" s="20">
        <f t="shared" si="1"/>
        <v>-0.033582089552239</v>
      </c>
      <c r="H31" s="17" t="s">
        <v>30</v>
      </c>
      <c r="I31" s="19" t="s">
        <v>560</v>
      </c>
    </row>
    <row r="32" spans="1:9">
      <c r="A32" s="17" t="s">
        <v>214</v>
      </c>
      <c r="B32" s="17" t="s">
        <v>215</v>
      </c>
      <c r="C32" s="18">
        <v>45812</v>
      </c>
      <c r="D32" s="19">
        <v>4.08</v>
      </c>
      <c r="E32" s="18">
        <v>45826</v>
      </c>
      <c r="F32" s="19">
        <v>4.03</v>
      </c>
      <c r="G32" s="20">
        <f t="shared" si="1"/>
        <v>-0.0122549019607843</v>
      </c>
      <c r="H32" s="19" t="s">
        <v>47</v>
      </c>
      <c r="I32" s="19" t="s">
        <v>615</v>
      </c>
    </row>
    <row r="33" spans="1:9">
      <c r="A33" s="17" t="s">
        <v>219</v>
      </c>
      <c r="B33" s="17" t="s">
        <v>220</v>
      </c>
      <c r="C33" s="18">
        <v>45813</v>
      </c>
      <c r="D33" s="19">
        <v>2.65</v>
      </c>
      <c r="E33" s="18">
        <v>45821</v>
      </c>
      <c r="F33" s="19">
        <v>2.6</v>
      </c>
      <c r="G33" s="20">
        <f t="shared" si="1"/>
        <v>-0.0188679245283018</v>
      </c>
      <c r="H33" s="17" t="s">
        <v>30</v>
      </c>
      <c r="I33" s="19" t="s">
        <v>563</v>
      </c>
    </row>
    <row r="34" spans="1:9">
      <c r="A34" s="17" t="s">
        <v>105</v>
      </c>
      <c r="B34" s="17" t="s">
        <v>106</v>
      </c>
      <c r="C34" s="18">
        <v>45813</v>
      </c>
      <c r="D34" s="19">
        <v>4.32</v>
      </c>
      <c r="E34" s="18">
        <v>45827</v>
      </c>
      <c r="F34" s="19">
        <v>4.22</v>
      </c>
      <c r="G34" s="20">
        <f t="shared" si="1"/>
        <v>-0.0231481481481483</v>
      </c>
      <c r="H34" s="19" t="s">
        <v>47</v>
      </c>
      <c r="I34" s="19" t="s">
        <v>564</v>
      </c>
    </row>
    <row r="35" spans="1:9">
      <c r="A35" s="17" t="s">
        <v>122</v>
      </c>
      <c r="B35" s="17" t="s">
        <v>123</v>
      </c>
      <c r="C35" s="18">
        <v>45833</v>
      </c>
      <c r="D35" s="19">
        <v>28.19</v>
      </c>
      <c r="E35" s="18">
        <v>45835</v>
      </c>
      <c r="F35" s="19">
        <v>30.13</v>
      </c>
      <c r="G35" s="20">
        <f t="shared" si="1"/>
        <v>0.0688187300461156</v>
      </c>
      <c r="H35" s="19" t="s">
        <v>47</v>
      </c>
      <c r="I35" s="19" t="s">
        <v>616</v>
      </c>
    </row>
    <row r="36" spans="1:9">
      <c r="A36" s="17" t="s">
        <v>32</v>
      </c>
      <c r="B36" s="17" t="s">
        <v>33</v>
      </c>
      <c r="C36" s="18">
        <v>45834</v>
      </c>
      <c r="D36" s="19">
        <v>31.56</v>
      </c>
      <c r="E36" s="18">
        <v>45845</v>
      </c>
      <c r="F36" s="19">
        <v>32.47</v>
      </c>
      <c r="G36" s="20">
        <f t="shared" si="1"/>
        <v>0.0288339670468949</v>
      </c>
      <c r="H36" s="19" t="s">
        <v>47</v>
      </c>
      <c r="I36" s="19" t="s">
        <v>617</v>
      </c>
    </row>
    <row r="37" spans="1:9">
      <c r="A37" s="17" t="s">
        <v>113</v>
      </c>
      <c r="B37" s="17" t="s">
        <v>114</v>
      </c>
      <c r="C37" s="18">
        <v>45838</v>
      </c>
      <c r="D37" s="19">
        <v>28.78</v>
      </c>
      <c r="E37" s="18">
        <v>45840</v>
      </c>
      <c r="F37" s="19">
        <v>28.22</v>
      </c>
      <c r="G37" s="20">
        <f t="shared" si="1"/>
        <v>-0.019457956914524</v>
      </c>
      <c r="H37" s="17" t="s">
        <v>30</v>
      </c>
      <c r="I37" s="19" t="s">
        <v>572</v>
      </c>
    </row>
    <row r="38" spans="1:9">
      <c r="A38" s="17" t="s">
        <v>78</v>
      </c>
      <c r="B38" s="17" t="s">
        <v>79</v>
      </c>
      <c r="C38" s="18">
        <v>45863</v>
      </c>
      <c r="D38" s="19">
        <v>17.61</v>
      </c>
      <c r="E38" s="18">
        <v>45869</v>
      </c>
      <c r="F38" s="19">
        <v>16.45</v>
      </c>
      <c r="G38" s="20">
        <f t="shared" si="1"/>
        <v>-0.0658716638273709</v>
      </c>
      <c r="H38" s="17" t="s">
        <v>30</v>
      </c>
      <c r="I38" s="19" t="s">
        <v>618</v>
      </c>
    </row>
    <row r="39" spans="1:9">
      <c r="A39" s="17" t="s">
        <v>99</v>
      </c>
      <c r="B39" s="17" t="s">
        <v>100</v>
      </c>
      <c r="C39" s="18">
        <v>45887</v>
      </c>
      <c r="D39" s="19">
        <v>6.94</v>
      </c>
      <c r="E39" s="18">
        <v>45909</v>
      </c>
      <c r="F39" s="19">
        <v>7.51</v>
      </c>
      <c r="G39" s="20">
        <f t="shared" si="1"/>
        <v>0.0821325648414986</v>
      </c>
      <c r="H39" s="17" t="s">
        <v>47</v>
      </c>
      <c r="I39" s="19" t="s">
        <v>578</v>
      </c>
    </row>
    <row r="40" spans="1:9">
      <c r="A40" s="17" t="s">
        <v>78</v>
      </c>
      <c r="B40" s="17" t="s">
        <v>79</v>
      </c>
      <c r="C40" s="18">
        <v>45895</v>
      </c>
      <c r="D40" s="19">
        <v>17.03</v>
      </c>
      <c r="E40" s="18">
        <v>45896</v>
      </c>
      <c r="F40" s="19">
        <v>16.64</v>
      </c>
      <c r="G40" s="20">
        <f t="shared" si="1"/>
        <v>-0.0229007633587787</v>
      </c>
      <c r="H40" s="17" t="s">
        <v>30</v>
      </c>
      <c r="I40" s="19" t="s">
        <v>619</v>
      </c>
    </row>
    <row r="41" spans="1:9">
      <c r="A41" s="17" t="s">
        <v>302</v>
      </c>
      <c r="B41" s="17" t="s">
        <v>303</v>
      </c>
      <c r="C41" s="18">
        <v>45895</v>
      </c>
      <c r="D41" s="19">
        <v>11.12</v>
      </c>
      <c r="E41" s="18">
        <v>45896</v>
      </c>
      <c r="F41" s="19">
        <v>10.95</v>
      </c>
      <c r="G41" s="20">
        <f t="shared" si="1"/>
        <v>-0.0152877697841727</v>
      </c>
      <c r="H41" s="17" t="s">
        <v>55</v>
      </c>
      <c r="I41" s="19" t="s">
        <v>620</v>
      </c>
    </row>
    <row r="42" spans="1:9">
      <c r="A42" s="17" t="s">
        <v>222</v>
      </c>
      <c r="B42" s="17" t="s">
        <v>223</v>
      </c>
      <c r="C42" s="18">
        <v>45940</v>
      </c>
      <c r="D42" s="19">
        <v>7.62</v>
      </c>
      <c r="E42" s="18">
        <v>45965</v>
      </c>
      <c r="F42" s="19">
        <v>7.64</v>
      </c>
      <c r="G42" s="20">
        <f t="shared" si="1"/>
        <v>0.00262467191601035</v>
      </c>
      <c r="H42" s="19" t="s">
        <v>47</v>
      </c>
      <c r="I42" s="19" t="s">
        <v>583</v>
      </c>
    </row>
    <row r="43" spans="1:9">
      <c r="A43" s="17" t="s">
        <v>253</v>
      </c>
      <c r="B43" s="17" t="s">
        <v>254</v>
      </c>
      <c r="C43" s="18">
        <v>45943</v>
      </c>
      <c r="D43" s="19">
        <v>5.29</v>
      </c>
      <c r="E43" s="18">
        <v>45946</v>
      </c>
      <c r="F43" s="19">
        <v>5.29</v>
      </c>
      <c r="G43" s="20">
        <f t="shared" si="1"/>
        <v>0</v>
      </c>
      <c r="H43" s="19" t="s">
        <v>47</v>
      </c>
      <c r="I43" s="19" t="s">
        <v>621</v>
      </c>
    </row>
    <row r="44" spans="1:9">
      <c r="A44" s="17" t="s">
        <v>276</v>
      </c>
      <c r="B44" s="17" t="s">
        <v>277</v>
      </c>
      <c r="C44" s="18">
        <v>45943</v>
      </c>
      <c r="D44" s="19">
        <v>6.6</v>
      </c>
      <c r="E44" s="18">
        <v>45974</v>
      </c>
      <c r="F44" s="19">
        <v>6.77</v>
      </c>
      <c r="G44" s="20">
        <f t="shared" si="1"/>
        <v>0.0257575757575756</v>
      </c>
      <c r="H44" s="19" t="s">
        <v>47</v>
      </c>
      <c r="I44" s="19" t="s">
        <v>622</v>
      </c>
    </row>
    <row r="45" spans="1:9">
      <c r="A45" s="17" t="s">
        <v>336</v>
      </c>
      <c r="B45" s="17" t="s">
        <v>337</v>
      </c>
      <c r="C45" s="18">
        <v>45958</v>
      </c>
      <c r="D45" s="19">
        <v>19.04</v>
      </c>
      <c r="E45" s="18">
        <v>45975</v>
      </c>
      <c r="F45" s="19">
        <v>20.6</v>
      </c>
      <c r="G45" s="20">
        <f t="shared" si="1"/>
        <v>0.0819327731092439</v>
      </c>
      <c r="H45" s="17" t="s">
        <v>111</v>
      </c>
      <c r="I45" s="19" t="s">
        <v>623</v>
      </c>
    </row>
    <row r="46" spans="1:9">
      <c r="A46" s="17" t="s">
        <v>263</v>
      </c>
      <c r="B46" s="17" t="s">
        <v>264</v>
      </c>
      <c r="C46" s="18">
        <v>45965</v>
      </c>
      <c r="D46" s="19">
        <v>4.21</v>
      </c>
      <c r="E46" s="18">
        <v>45979</v>
      </c>
      <c r="F46" s="19">
        <v>4.3</v>
      </c>
      <c r="G46" s="20">
        <f t="shared" si="1"/>
        <v>0.0213776722090262</v>
      </c>
      <c r="H46" s="19" t="s">
        <v>55</v>
      </c>
      <c r="I46" s="19" t="s">
        <v>624</v>
      </c>
    </row>
    <row r="47" spans="1:9">
      <c r="A47" s="17" t="s">
        <v>441</v>
      </c>
      <c r="B47" s="17" t="s">
        <v>442</v>
      </c>
      <c r="C47" s="18">
        <v>46003</v>
      </c>
      <c r="D47" s="19">
        <v>2.97</v>
      </c>
      <c r="E47" s="18">
        <v>46014</v>
      </c>
      <c r="F47" s="19">
        <v>3.07</v>
      </c>
      <c r="G47" s="20">
        <f t="shared" si="1"/>
        <v>0.0336700336700335</v>
      </c>
      <c r="H47" s="17" t="s">
        <v>111</v>
      </c>
      <c r="I47" s="19" t="s">
        <v>587</v>
      </c>
    </row>
    <row r="48" spans="1:9">
      <c r="A48" s="17" t="s">
        <v>273</v>
      </c>
      <c r="B48" s="17" t="s">
        <v>274</v>
      </c>
      <c r="C48" s="18">
        <v>46007</v>
      </c>
      <c r="D48" s="19">
        <v>30.65</v>
      </c>
      <c r="E48" s="18">
        <v>46014</v>
      </c>
      <c r="F48" s="19">
        <v>28.99</v>
      </c>
      <c r="G48" s="20">
        <f t="shared" si="1"/>
        <v>-0.0541598694942904</v>
      </c>
      <c r="H48" s="19" t="s">
        <v>175</v>
      </c>
      <c r="I48" s="19" t="s">
        <v>625</v>
      </c>
    </row>
    <row r="49" spans="1:9">
      <c r="A49" s="17" t="s">
        <v>589</v>
      </c>
      <c r="B49" s="17" t="s">
        <v>590</v>
      </c>
      <c r="C49" s="18">
        <v>46010</v>
      </c>
      <c r="D49" s="19">
        <v>18.39</v>
      </c>
      <c r="E49" s="18">
        <v>46016</v>
      </c>
      <c r="F49" s="19">
        <v>18.85</v>
      </c>
      <c r="G49" s="20">
        <f t="shared" si="1"/>
        <v>0.0250135943447527</v>
      </c>
      <c r="H49" s="17" t="s">
        <v>175</v>
      </c>
      <c r="I49" s="19" t="s">
        <v>626</v>
      </c>
    </row>
    <row r="50" spans="1:9">
      <c r="A50" s="17" t="s">
        <v>398</v>
      </c>
      <c r="B50" s="17" t="s">
        <v>399</v>
      </c>
      <c r="C50" s="18">
        <v>46013</v>
      </c>
      <c r="D50" s="19">
        <v>18.09</v>
      </c>
      <c r="E50" s="18">
        <v>46020</v>
      </c>
      <c r="F50" s="19">
        <v>18.7</v>
      </c>
      <c r="G50" s="20">
        <f t="shared" si="1"/>
        <v>0.0337202874516307</v>
      </c>
      <c r="H50" s="17" t="s">
        <v>55</v>
      </c>
      <c r="I50" s="19" t="s">
        <v>627</v>
      </c>
    </row>
    <row r="51" spans="1:9">
      <c r="A51" s="17" t="s">
        <v>302</v>
      </c>
      <c r="B51" s="17" t="s">
        <v>303</v>
      </c>
      <c r="C51" s="18">
        <v>46028</v>
      </c>
      <c r="D51" s="19">
        <v>10.56</v>
      </c>
      <c r="E51" s="18">
        <v>46036</v>
      </c>
      <c r="F51" s="19">
        <v>10.7</v>
      </c>
      <c r="G51" s="20">
        <f t="shared" si="1"/>
        <v>0.0132575757575757</v>
      </c>
      <c r="H51" s="17" t="s">
        <v>271</v>
      </c>
      <c r="I51" s="19" t="s">
        <v>628</v>
      </c>
    </row>
    <row r="52" spans="1:9">
      <c r="A52" s="17" t="s">
        <v>307</v>
      </c>
      <c r="B52" s="17" t="s">
        <v>308</v>
      </c>
      <c r="C52" s="18">
        <v>46034</v>
      </c>
      <c r="D52" s="19">
        <v>41.8</v>
      </c>
      <c r="E52" s="18">
        <v>46037</v>
      </c>
      <c r="F52" s="19">
        <v>42.15</v>
      </c>
      <c r="G52" s="20">
        <f t="shared" si="1"/>
        <v>0.00837320574162681</v>
      </c>
      <c r="H52" s="17" t="s">
        <v>55</v>
      </c>
      <c r="I52" s="19" t="s">
        <v>629</v>
      </c>
    </row>
    <row r="53" spans="1:9">
      <c r="A53" s="17" t="s">
        <v>462</v>
      </c>
      <c r="B53" s="17" t="s">
        <v>463</v>
      </c>
      <c r="C53" s="18">
        <v>46128</v>
      </c>
      <c r="D53" s="19">
        <v>69.15</v>
      </c>
      <c r="E53" s="18">
        <v>46140</v>
      </c>
      <c r="F53" s="19">
        <v>72.34</v>
      </c>
      <c r="G53" s="20">
        <f t="shared" si="1"/>
        <v>0.0461315979754158</v>
      </c>
      <c r="H53" s="19" t="s">
        <v>47</v>
      </c>
      <c r="I53" s="19" t="s">
        <v>630</v>
      </c>
    </row>
    <row r="54" spans="1:9">
      <c r="A54" s="17" t="s">
        <v>631</v>
      </c>
      <c r="B54" s="17" t="s">
        <v>632</v>
      </c>
      <c r="C54" s="18">
        <v>46162</v>
      </c>
      <c r="D54" s="19">
        <v>4.5</v>
      </c>
      <c r="E54" s="18">
        <v>46162</v>
      </c>
      <c r="F54" s="19">
        <v>4.47</v>
      </c>
      <c r="G54" s="20">
        <f t="shared" si="1"/>
        <v>-0.00666666666666671</v>
      </c>
      <c r="H54" s="19" t="s">
        <v>47</v>
      </c>
      <c r="I54" s="19" t="s">
        <v>633</v>
      </c>
    </row>
    <row r="55" spans="1:9">
      <c r="A55" s="17" t="s">
        <v>441</v>
      </c>
      <c r="B55" s="17" t="s">
        <v>442</v>
      </c>
      <c r="C55" s="18">
        <v>46175</v>
      </c>
      <c r="D55" s="19">
        <v>2.47</v>
      </c>
      <c r="E55" s="18">
        <v>46176</v>
      </c>
      <c r="F55" s="19">
        <v>2.37</v>
      </c>
      <c r="G55" s="20">
        <f t="shared" si="1"/>
        <v>-0.0404858299595142</v>
      </c>
      <c r="H55" s="17" t="s">
        <v>175</v>
      </c>
      <c r="I55" s="19" t="s">
        <v>634</v>
      </c>
    </row>
  </sheetData>
  <mergeCells count="22">
    <mergeCell ref="A1:G1"/>
    <mergeCell ref="A2:G2"/>
    <mergeCell ref="A3:G3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3:C13"/>
    <mergeCell ref="D13:G13"/>
    <mergeCell ref="A25:I2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40"/>
  <sheetViews>
    <sheetView topLeftCell="A10" workbookViewId="0">
      <selection activeCell="D50" sqref="D50"/>
    </sheetView>
  </sheetViews>
  <sheetFormatPr defaultColWidth="9" defaultRowHeight="13.5"/>
  <cols>
    <col min="1" max="1" width="17.5" customWidth="1"/>
    <col min="2" max="2" width="22.25" customWidth="1"/>
    <col min="3" max="3" width="20.125" customWidth="1"/>
    <col min="4" max="4" width="18.875" customWidth="1"/>
    <col min="5" max="5" width="16" customWidth="1"/>
    <col min="6" max="6" width="16.125" customWidth="1"/>
    <col min="7" max="7" width="11.625" customWidth="1"/>
    <col min="9" max="9" width="50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2" t="s">
        <v>2</v>
      </c>
      <c r="B3" s="2"/>
      <c r="C3" s="2"/>
      <c r="D3" s="2"/>
      <c r="E3" s="2"/>
      <c r="F3" s="2"/>
      <c r="G3" s="2"/>
    </row>
    <row r="5" spans="1:9">
      <c r="A5" s="1" t="s">
        <v>3</v>
      </c>
      <c r="B5" s="1" t="s">
        <v>4</v>
      </c>
      <c r="C5" s="1"/>
      <c r="D5" s="1" t="s">
        <v>5</v>
      </c>
      <c r="E5" s="1"/>
      <c r="F5" s="1"/>
      <c r="G5" s="1"/>
    </row>
    <row r="6" spans="1:9">
      <c r="A6" s="3" t="s">
        <v>6</v>
      </c>
      <c r="B6" s="39" t="s">
        <v>635</v>
      </c>
      <c r="C6" s="39"/>
      <c r="D6" s="3" t="s">
        <v>636</v>
      </c>
      <c r="E6" s="3"/>
      <c r="F6" s="3"/>
      <c r="G6" s="3"/>
    </row>
    <row r="7" spans="1:9">
      <c r="A7" s="3" t="s">
        <v>637</v>
      </c>
      <c r="B7" s="3" t="s">
        <v>638</v>
      </c>
      <c r="C7" s="3"/>
      <c r="D7" s="3" t="s">
        <v>639</v>
      </c>
      <c r="E7" s="3"/>
      <c r="F7" s="3"/>
      <c r="G7" s="3"/>
    </row>
    <row r="8" spans="1:9">
      <c r="A8" s="3" t="s">
        <v>11</v>
      </c>
      <c r="B8" s="2" t="s">
        <v>12</v>
      </c>
      <c r="C8" s="2"/>
      <c r="D8" s="3" t="s">
        <v>13</v>
      </c>
      <c r="E8" s="3"/>
      <c r="F8" s="3"/>
      <c r="G8" s="3"/>
    </row>
    <row r="9" spans="1:9">
      <c r="A9" s="3" t="s">
        <v>536</v>
      </c>
      <c r="B9" s="3" t="s">
        <v>537</v>
      </c>
      <c r="C9" s="3"/>
      <c r="D9" s="3" t="s">
        <v>538</v>
      </c>
      <c r="E9" s="3"/>
      <c r="F9" s="3"/>
      <c r="G9" s="3"/>
    </row>
    <row r="10" spans="1:9">
      <c r="A10" s="3" t="s">
        <v>539</v>
      </c>
      <c r="B10" s="6" t="s">
        <v>540</v>
      </c>
      <c r="C10" s="8"/>
      <c r="D10" s="6" t="s">
        <v>541</v>
      </c>
      <c r="E10" s="7"/>
      <c r="F10" s="7"/>
      <c r="G10" s="8"/>
    </row>
    <row r="11" spans="1:9">
      <c r="A11" s="3" t="s">
        <v>542</v>
      </c>
      <c r="B11" s="6" t="s">
        <v>543</v>
      </c>
      <c r="C11" s="8"/>
      <c r="D11" s="6" t="s">
        <v>544</v>
      </c>
      <c r="E11" s="7"/>
      <c r="F11" s="7"/>
      <c r="G11" s="8"/>
    </row>
    <row r="12" spans="1:9">
      <c r="A12" s="3" t="s">
        <v>603</v>
      </c>
      <c r="B12" s="6" t="s">
        <v>604</v>
      </c>
      <c r="C12" s="8"/>
      <c r="D12" s="6" t="s">
        <v>605</v>
      </c>
      <c r="E12" s="7"/>
      <c r="F12" s="7"/>
      <c r="G12" s="8"/>
    </row>
    <row r="13" ht="51" customHeight="1" spans="1:9">
      <c r="A13" s="3" t="s">
        <v>16</v>
      </c>
      <c r="B13" s="2" t="s">
        <v>17</v>
      </c>
      <c r="C13" s="2"/>
      <c r="D13" s="3" t="s">
        <v>18</v>
      </c>
      <c r="E13" s="3"/>
      <c r="F13" s="3"/>
      <c r="G13" s="3"/>
    </row>
    <row r="15" ht="15" spans="1:9">
      <c r="A15" s="9" t="s">
        <v>19</v>
      </c>
      <c r="B15" s="9" t="s">
        <v>20</v>
      </c>
      <c r="C15" s="9" t="s">
        <v>21</v>
      </c>
      <c r="D15" s="9" t="s">
        <v>22</v>
      </c>
      <c r="E15" s="9" t="s">
        <v>23</v>
      </c>
      <c r="F15" s="9" t="s">
        <v>545</v>
      </c>
      <c r="G15" s="9" t="s">
        <v>25</v>
      </c>
      <c r="H15" s="9" t="s">
        <v>26</v>
      </c>
      <c r="I15" s="10" t="s">
        <v>27</v>
      </c>
    </row>
    <row r="16" spans="1:9">
      <c r="A16" s="31" t="s">
        <v>141</v>
      </c>
      <c r="B16" s="31" t="s">
        <v>142</v>
      </c>
      <c r="C16" s="32">
        <v>45769</v>
      </c>
      <c r="D16" s="33">
        <v>8.47</v>
      </c>
      <c r="E16" s="33"/>
      <c r="F16" s="33">
        <v>8.89</v>
      </c>
      <c r="G16" s="34">
        <f>F16/D16-1</f>
        <v>0.0495867768595042</v>
      </c>
      <c r="H16" s="13" t="s">
        <v>47</v>
      </c>
      <c r="I16" s="33" t="s">
        <v>547</v>
      </c>
    </row>
    <row r="17" spans="1:9">
      <c r="A17" s="17" t="s">
        <v>257</v>
      </c>
      <c r="B17" s="17" t="s">
        <v>258</v>
      </c>
      <c r="C17" s="18">
        <v>45770</v>
      </c>
      <c r="D17" s="19">
        <v>13.42</v>
      </c>
      <c r="E17" s="18">
        <v>45775</v>
      </c>
      <c r="F17" s="19">
        <v>13.19</v>
      </c>
      <c r="G17" s="20">
        <f t="shared" ref="G17:G40" si="0">F17/D17-1</f>
        <v>-0.0171385991058123</v>
      </c>
      <c r="H17" s="19" t="s">
        <v>111</v>
      </c>
      <c r="I17" s="19" t="s">
        <v>549</v>
      </c>
    </row>
    <row r="18" spans="1:9">
      <c r="A18" s="17" t="s">
        <v>132</v>
      </c>
      <c r="B18" s="17" t="s">
        <v>133</v>
      </c>
      <c r="C18" s="18">
        <v>45770</v>
      </c>
      <c r="D18" s="19">
        <v>11.3</v>
      </c>
      <c r="E18" s="18">
        <v>45775</v>
      </c>
      <c r="F18" s="19">
        <v>11.3</v>
      </c>
      <c r="G18" s="20">
        <f t="shared" si="0"/>
        <v>0</v>
      </c>
      <c r="H18" s="19" t="s">
        <v>47</v>
      </c>
      <c r="I18" s="19" t="s">
        <v>640</v>
      </c>
    </row>
    <row r="20" spans="1:9">
      <c r="A20" s="27" t="s">
        <v>612</v>
      </c>
      <c r="B20" s="27"/>
      <c r="C20" s="27"/>
      <c r="D20" s="27"/>
      <c r="E20" s="27"/>
      <c r="F20" s="27"/>
      <c r="G20" s="27"/>
      <c r="H20" s="27"/>
      <c r="I20" s="27"/>
    </row>
    <row r="21" spans="1:9">
      <c r="A21" s="9" t="s">
        <v>19</v>
      </c>
      <c r="B21" s="9" t="s">
        <v>20</v>
      </c>
      <c r="C21" s="9" t="s">
        <v>21</v>
      </c>
      <c r="D21" s="9" t="s">
        <v>22</v>
      </c>
      <c r="E21" s="9" t="s">
        <v>23</v>
      </c>
      <c r="F21" s="9" t="s">
        <v>24</v>
      </c>
      <c r="G21" s="9" t="s">
        <v>25</v>
      </c>
      <c r="H21" s="9" t="s">
        <v>26</v>
      </c>
      <c r="I21" s="10" t="s">
        <v>27</v>
      </c>
    </row>
    <row r="22" spans="1:9">
      <c r="A22" s="17" t="s">
        <v>199</v>
      </c>
      <c r="B22" s="17" t="s">
        <v>200</v>
      </c>
      <c r="C22" s="18">
        <v>45777</v>
      </c>
      <c r="D22" s="19">
        <v>35.75</v>
      </c>
      <c r="E22" s="18">
        <v>45796</v>
      </c>
      <c r="F22" s="19">
        <v>35.65</v>
      </c>
      <c r="G22" s="20">
        <f t="shared" si="0"/>
        <v>-0.00279720279720286</v>
      </c>
      <c r="H22" s="17" t="s">
        <v>111</v>
      </c>
      <c r="I22" s="19" t="s">
        <v>553</v>
      </c>
    </row>
    <row r="23" spans="1:9">
      <c r="A23" s="17" t="s">
        <v>69</v>
      </c>
      <c r="B23" s="17" t="s">
        <v>70</v>
      </c>
      <c r="C23" s="18">
        <v>45783</v>
      </c>
      <c r="D23" s="19">
        <v>9.65</v>
      </c>
      <c r="E23" s="18">
        <v>45789</v>
      </c>
      <c r="F23" s="19">
        <v>9.95</v>
      </c>
      <c r="G23" s="20">
        <f t="shared" si="0"/>
        <v>0.0310880829015543</v>
      </c>
      <c r="H23" s="19" t="s">
        <v>47</v>
      </c>
      <c r="I23" s="19" t="s">
        <v>555</v>
      </c>
    </row>
    <row r="24" spans="1:9">
      <c r="A24" s="17" t="s">
        <v>219</v>
      </c>
      <c r="B24" s="17" t="s">
        <v>220</v>
      </c>
      <c r="C24" s="18">
        <v>45797</v>
      </c>
      <c r="D24" s="19">
        <v>2.68</v>
      </c>
      <c r="E24" s="18">
        <v>45800</v>
      </c>
      <c r="F24" s="19">
        <v>2.59</v>
      </c>
      <c r="G24" s="20">
        <f t="shared" si="0"/>
        <v>-0.033582089552239</v>
      </c>
      <c r="H24" s="17" t="s">
        <v>30</v>
      </c>
      <c r="I24" s="19" t="s">
        <v>560</v>
      </c>
    </row>
    <row r="25" spans="1:9">
      <c r="A25" s="17" t="s">
        <v>214</v>
      </c>
      <c r="B25" s="17" t="s">
        <v>215</v>
      </c>
      <c r="C25" s="18">
        <v>45812</v>
      </c>
      <c r="D25" s="19">
        <v>4.08</v>
      </c>
      <c r="E25" s="18">
        <v>45826</v>
      </c>
      <c r="F25" s="19">
        <v>4.03</v>
      </c>
      <c r="G25" s="20">
        <f t="shared" si="0"/>
        <v>-0.0122549019607843</v>
      </c>
      <c r="H25" s="19" t="s">
        <v>47</v>
      </c>
      <c r="I25" s="19" t="s">
        <v>562</v>
      </c>
    </row>
    <row r="26" spans="1:9">
      <c r="A26" s="17" t="s">
        <v>219</v>
      </c>
      <c r="B26" s="17" t="s">
        <v>220</v>
      </c>
      <c r="C26" s="18">
        <v>45813</v>
      </c>
      <c r="D26" s="19">
        <v>2.65</v>
      </c>
      <c r="E26" s="18">
        <v>45821</v>
      </c>
      <c r="F26" s="19">
        <v>2.6</v>
      </c>
      <c r="G26" s="20">
        <f t="shared" si="0"/>
        <v>-0.0188679245283018</v>
      </c>
      <c r="H26" s="17" t="s">
        <v>30</v>
      </c>
      <c r="I26" s="19" t="s">
        <v>563</v>
      </c>
    </row>
    <row r="27" spans="1:9">
      <c r="A27" s="17" t="s">
        <v>105</v>
      </c>
      <c r="B27" s="17" t="s">
        <v>106</v>
      </c>
      <c r="C27" s="18">
        <v>45813</v>
      </c>
      <c r="D27" s="19">
        <v>4.32</v>
      </c>
      <c r="E27" s="18">
        <v>45827</v>
      </c>
      <c r="F27" s="19">
        <v>4.22</v>
      </c>
      <c r="G27" s="20">
        <f t="shared" si="0"/>
        <v>-0.0231481481481483</v>
      </c>
      <c r="H27" s="19" t="s">
        <v>47</v>
      </c>
      <c r="I27" s="19" t="s">
        <v>564</v>
      </c>
    </row>
    <row r="28" spans="1:9">
      <c r="A28" s="17" t="s">
        <v>122</v>
      </c>
      <c r="B28" s="17" t="s">
        <v>123</v>
      </c>
      <c r="C28" s="18">
        <v>45833</v>
      </c>
      <c r="D28" s="19">
        <v>28.19</v>
      </c>
      <c r="E28" s="18">
        <v>45835</v>
      </c>
      <c r="F28" s="19">
        <v>30.13</v>
      </c>
      <c r="G28" s="20">
        <f t="shared" si="0"/>
        <v>0.0688187300461156</v>
      </c>
      <c r="H28" s="17" t="s">
        <v>47</v>
      </c>
      <c r="I28" s="19" t="s">
        <v>616</v>
      </c>
    </row>
    <row r="29" spans="1:9">
      <c r="A29" s="17" t="s">
        <v>641</v>
      </c>
      <c r="B29" s="17" t="s">
        <v>642</v>
      </c>
      <c r="C29" s="18">
        <v>45833</v>
      </c>
      <c r="D29" s="19">
        <v>10.32</v>
      </c>
      <c r="E29" s="18">
        <v>45849</v>
      </c>
      <c r="F29" s="19">
        <v>10.45</v>
      </c>
      <c r="G29" s="20">
        <f t="shared" si="0"/>
        <v>0.012596899224806</v>
      </c>
      <c r="H29" s="17" t="s">
        <v>55</v>
      </c>
      <c r="I29" s="19" t="s">
        <v>643</v>
      </c>
    </row>
    <row r="30" spans="1:9">
      <c r="A30" s="17" t="s">
        <v>113</v>
      </c>
      <c r="B30" s="17" t="s">
        <v>114</v>
      </c>
      <c r="C30" s="18">
        <v>45838</v>
      </c>
      <c r="D30" s="19">
        <v>28.78</v>
      </c>
      <c r="E30" s="18">
        <v>45840</v>
      </c>
      <c r="F30" s="19">
        <v>28.22</v>
      </c>
      <c r="G30" s="20">
        <f t="shared" si="0"/>
        <v>-0.019457956914524</v>
      </c>
      <c r="H30" s="17" t="s">
        <v>30</v>
      </c>
      <c r="I30" s="19" t="s">
        <v>572</v>
      </c>
    </row>
    <row r="31" spans="1:9">
      <c r="A31" s="17" t="s">
        <v>99</v>
      </c>
      <c r="B31" s="17" t="s">
        <v>100</v>
      </c>
      <c r="C31" s="18">
        <v>45887</v>
      </c>
      <c r="D31" s="19">
        <v>6.94</v>
      </c>
      <c r="E31" s="18">
        <v>45909</v>
      </c>
      <c r="F31" s="19">
        <v>7.51</v>
      </c>
      <c r="G31" s="20">
        <f t="shared" si="0"/>
        <v>0.0821325648414986</v>
      </c>
      <c r="H31" s="17" t="s">
        <v>47</v>
      </c>
      <c r="I31" s="19" t="s">
        <v>578</v>
      </c>
    </row>
    <row r="32" spans="1:9">
      <c r="A32" s="17" t="s">
        <v>489</v>
      </c>
      <c r="B32" s="17" t="s">
        <v>490</v>
      </c>
      <c r="C32" s="18">
        <v>45895</v>
      </c>
      <c r="D32" s="19">
        <v>3.05</v>
      </c>
      <c r="E32" s="18">
        <v>45897</v>
      </c>
      <c r="F32" s="19">
        <v>2.98</v>
      </c>
      <c r="G32" s="20">
        <f t="shared" si="0"/>
        <v>-0.0229508196721311</v>
      </c>
      <c r="H32" s="17" t="s">
        <v>111</v>
      </c>
      <c r="I32" s="19" t="s">
        <v>644</v>
      </c>
    </row>
    <row r="33" spans="1:9">
      <c r="A33" s="17" t="s">
        <v>69</v>
      </c>
      <c r="B33" s="17" t="s">
        <v>70</v>
      </c>
      <c r="C33" s="18">
        <v>45945</v>
      </c>
      <c r="D33" s="19">
        <v>13.63</v>
      </c>
      <c r="E33" s="18">
        <v>45952</v>
      </c>
      <c r="F33" s="19">
        <v>13</v>
      </c>
      <c r="G33" s="20">
        <f t="shared" si="0"/>
        <v>-0.0462215700660309</v>
      </c>
      <c r="H33" s="17" t="s">
        <v>55</v>
      </c>
      <c r="I33" s="19" t="s">
        <v>645</v>
      </c>
    </row>
    <row r="34" spans="1:9">
      <c r="A34" s="17" t="s">
        <v>646</v>
      </c>
      <c r="B34" s="17" t="s">
        <v>647</v>
      </c>
      <c r="C34" s="18">
        <v>45959</v>
      </c>
      <c r="D34" s="19">
        <v>15.49</v>
      </c>
      <c r="E34" s="18">
        <v>45968</v>
      </c>
      <c r="F34" s="19">
        <v>15.12</v>
      </c>
      <c r="G34" s="20">
        <f t="shared" si="0"/>
        <v>-0.0238863783085862</v>
      </c>
      <c r="H34" s="17" t="s">
        <v>55</v>
      </c>
      <c r="I34" s="19" t="s">
        <v>648</v>
      </c>
    </row>
    <row r="35" spans="1:9">
      <c r="A35" s="17" t="s">
        <v>649</v>
      </c>
      <c r="B35" s="17" t="s">
        <v>650</v>
      </c>
      <c r="C35" s="18">
        <v>45972</v>
      </c>
      <c r="D35" s="19">
        <v>15.4</v>
      </c>
      <c r="E35" s="18">
        <v>45978</v>
      </c>
      <c r="F35" s="19">
        <v>15.18</v>
      </c>
      <c r="G35" s="20">
        <f t="shared" si="0"/>
        <v>-0.0142857142857143</v>
      </c>
      <c r="H35" s="17" t="s">
        <v>55</v>
      </c>
      <c r="I35" s="19" t="s">
        <v>651</v>
      </c>
    </row>
    <row r="36" spans="1:9">
      <c r="A36" s="17" t="s">
        <v>441</v>
      </c>
      <c r="B36" s="17" t="s">
        <v>442</v>
      </c>
      <c r="C36" s="18">
        <v>46003</v>
      </c>
      <c r="D36" s="19">
        <v>2.97</v>
      </c>
      <c r="E36" s="18">
        <v>46014</v>
      </c>
      <c r="F36" s="19">
        <v>3.07</v>
      </c>
      <c r="G36" s="20">
        <f t="shared" si="0"/>
        <v>0.0336700336700335</v>
      </c>
      <c r="H36" s="17" t="s">
        <v>111</v>
      </c>
      <c r="I36" s="19" t="s">
        <v>587</v>
      </c>
    </row>
    <row r="37" spans="1:9">
      <c r="A37" s="17" t="s">
        <v>652</v>
      </c>
      <c r="B37" s="17" t="s">
        <v>653</v>
      </c>
      <c r="C37" s="18">
        <v>46003</v>
      </c>
      <c r="D37" s="19">
        <v>9.24</v>
      </c>
      <c r="E37" s="18">
        <v>46008</v>
      </c>
      <c r="F37" s="19">
        <v>9.15</v>
      </c>
      <c r="G37" s="20">
        <f t="shared" si="0"/>
        <v>-0.00974025974025972</v>
      </c>
      <c r="H37" s="17" t="s">
        <v>111</v>
      </c>
      <c r="I37" s="19" t="s">
        <v>654</v>
      </c>
    </row>
    <row r="38" spans="1:9">
      <c r="A38" s="17" t="s">
        <v>515</v>
      </c>
      <c r="B38" s="17" t="s">
        <v>516</v>
      </c>
      <c r="C38" s="18">
        <v>46015</v>
      </c>
      <c r="D38" s="19">
        <v>38.18</v>
      </c>
      <c r="E38" s="18">
        <v>46020</v>
      </c>
      <c r="F38" s="19">
        <v>37.25</v>
      </c>
      <c r="G38" s="20">
        <f t="shared" si="0"/>
        <v>-0.0243583027763227</v>
      </c>
      <c r="H38" s="17" t="s">
        <v>55</v>
      </c>
      <c r="I38" s="19" t="s">
        <v>655</v>
      </c>
    </row>
    <row r="39" spans="1:9">
      <c r="A39" s="41" t="s">
        <v>522</v>
      </c>
      <c r="B39" s="41" t="s">
        <v>523</v>
      </c>
      <c r="C39" s="42">
        <v>46092</v>
      </c>
      <c r="D39" s="43">
        <v>20.51</v>
      </c>
      <c r="E39" s="42">
        <v>46093</v>
      </c>
      <c r="F39" s="43">
        <v>20</v>
      </c>
      <c r="G39" s="40">
        <f t="shared" si="0"/>
        <v>-0.0248659190638714</v>
      </c>
      <c r="H39" s="41" t="s">
        <v>55</v>
      </c>
      <c r="I39" s="43" t="s">
        <v>656</v>
      </c>
    </row>
    <row r="40" spans="1:9">
      <c r="A40" s="17" t="s">
        <v>657</v>
      </c>
      <c r="B40" s="17" t="s">
        <v>658</v>
      </c>
      <c r="C40" s="18">
        <v>46134</v>
      </c>
      <c r="D40" s="19">
        <v>5.51</v>
      </c>
      <c r="E40" s="18">
        <v>46136</v>
      </c>
      <c r="F40" s="19">
        <v>5.41</v>
      </c>
      <c r="G40" s="40">
        <f t="shared" si="0"/>
        <v>-0.0181488203266787</v>
      </c>
      <c r="H40" s="19" t="s">
        <v>55</v>
      </c>
      <c r="I40" s="19" t="s">
        <v>659</v>
      </c>
    </row>
  </sheetData>
  <mergeCells count="22">
    <mergeCell ref="A1:G1"/>
    <mergeCell ref="A2:G2"/>
    <mergeCell ref="A3:G3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3:C13"/>
    <mergeCell ref="D13:G13"/>
    <mergeCell ref="A20:I2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I53"/>
  <sheetViews>
    <sheetView topLeftCell="A20" workbookViewId="0">
      <selection activeCell="A53" sqref="A53:I53"/>
    </sheetView>
  </sheetViews>
  <sheetFormatPr defaultColWidth="9" defaultRowHeight="13.5"/>
  <cols>
    <col min="1" max="1" width="17.5" customWidth="1"/>
    <col min="2" max="2" width="22.25" customWidth="1"/>
    <col min="3" max="3" width="20.125" customWidth="1"/>
    <col min="4" max="4" width="18.875" customWidth="1"/>
    <col min="5" max="5" width="16" customWidth="1"/>
    <col min="6" max="6" width="16.125" customWidth="1"/>
    <col min="7" max="7" width="11.625" customWidth="1"/>
    <col min="9" max="9" width="50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2" t="s">
        <v>2</v>
      </c>
      <c r="B3" s="2"/>
      <c r="C3" s="2"/>
      <c r="D3" s="2"/>
      <c r="E3" s="2"/>
      <c r="F3" s="2"/>
      <c r="G3" s="2"/>
    </row>
    <row r="5" spans="1:9">
      <c r="A5" s="1" t="s">
        <v>3</v>
      </c>
      <c r="B5" s="1" t="s">
        <v>4</v>
      </c>
      <c r="C5" s="1"/>
      <c r="D5" s="1" t="s">
        <v>5</v>
      </c>
      <c r="E5" s="1"/>
      <c r="F5" s="1"/>
      <c r="G5" s="1"/>
    </row>
    <row r="6" spans="1:9">
      <c r="A6" s="3" t="s">
        <v>6</v>
      </c>
      <c r="B6" s="39" t="s">
        <v>635</v>
      </c>
      <c r="C6" s="39"/>
      <c r="D6" s="3" t="s">
        <v>636</v>
      </c>
      <c r="E6" s="3"/>
      <c r="F6" s="3"/>
      <c r="G6" s="3"/>
    </row>
    <row r="7" spans="1:9">
      <c r="A7" s="3" t="s">
        <v>660</v>
      </c>
      <c r="B7" s="3" t="s">
        <v>638</v>
      </c>
      <c r="C7" s="3"/>
      <c r="D7" s="3" t="s">
        <v>661</v>
      </c>
      <c r="E7" s="3"/>
      <c r="F7" s="3"/>
      <c r="G7" s="3"/>
    </row>
    <row r="8" spans="1:9">
      <c r="A8" s="3" t="s">
        <v>11</v>
      </c>
      <c r="B8" s="2" t="s">
        <v>12</v>
      </c>
      <c r="C8" s="2"/>
      <c r="D8" s="3" t="s">
        <v>13</v>
      </c>
      <c r="E8" s="3"/>
      <c r="F8" s="3"/>
      <c r="G8" s="3"/>
    </row>
    <row r="9" spans="1:9">
      <c r="A9" s="3" t="s">
        <v>536</v>
      </c>
      <c r="B9" s="3" t="s">
        <v>537</v>
      </c>
      <c r="C9" s="3"/>
      <c r="D9" s="3" t="s">
        <v>538</v>
      </c>
      <c r="E9" s="3"/>
      <c r="F9" s="3"/>
      <c r="G9" s="3"/>
    </row>
    <row r="10" spans="1:9">
      <c r="A10" s="3" t="s">
        <v>539</v>
      </c>
      <c r="B10" s="6" t="s">
        <v>540</v>
      </c>
      <c r="C10" s="8"/>
      <c r="D10" s="6" t="s">
        <v>541</v>
      </c>
      <c r="E10" s="7"/>
      <c r="F10" s="7"/>
      <c r="G10" s="8"/>
    </row>
    <row r="11" spans="1:9">
      <c r="A11" s="3" t="s">
        <v>542</v>
      </c>
      <c r="B11" s="6" t="s">
        <v>543</v>
      </c>
      <c r="C11" s="8"/>
      <c r="D11" s="6" t="s">
        <v>544</v>
      </c>
      <c r="E11" s="7"/>
      <c r="F11" s="7"/>
      <c r="G11" s="8"/>
    </row>
    <row r="12" spans="1:9">
      <c r="A12" s="3" t="s">
        <v>603</v>
      </c>
      <c r="B12" s="6" t="s">
        <v>604</v>
      </c>
      <c r="C12" s="8"/>
      <c r="D12" s="6" t="s">
        <v>605</v>
      </c>
      <c r="E12" s="7"/>
      <c r="F12" s="7"/>
      <c r="G12" s="8"/>
    </row>
    <row r="13" ht="42" customHeight="1" spans="1:9">
      <c r="A13" s="3" t="s">
        <v>16</v>
      </c>
      <c r="B13" s="2" t="s">
        <v>17</v>
      </c>
      <c r="C13" s="2"/>
      <c r="D13" s="3" t="s">
        <v>18</v>
      </c>
      <c r="E13" s="3"/>
      <c r="F13" s="3"/>
      <c r="G13" s="3"/>
    </row>
    <row r="15" ht="15" spans="1:9">
      <c r="A15" s="9" t="s">
        <v>19</v>
      </c>
      <c r="B15" s="9" t="s">
        <v>20</v>
      </c>
      <c r="C15" s="9" t="s">
        <v>21</v>
      </c>
      <c r="D15" s="9" t="s">
        <v>22</v>
      </c>
      <c r="E15" s="9" t="s">
        <v>23</v>
      </c>
      <c r="F15" s="9" t="s">
        <v>545</v>
      </c>
      <c r="G15" s="9" t="s">
        <v>25</v>
      </c>
      <c r="H15" s="9" t="s">
        <v>26</v>
      </c>
      <c r="I15" s="10" t="s">
        <v>27</v>
      </c>
    </row>
    <row r="16" spans="1:9">
      <c r="A16" s="31" t="s">
        <v>141</v>
      </c>
      <c r="B16" s="31" t="s">
        <v>142</v>
      </c>
      <c r="C16" s="32">
        <v>45769</v>
      </c>
      <c r="D16" s="33">
        <v>8.47</v>
      </c>
      <c r="E16" s="33"/>
      <c r="F16" s="33">
        <v>8.89</v>
      </c>
      <c r="G16" s="34">
        <f>F16/D16-1</f>
        <v>0.0495867768595042</v>
      </c>
      <c r="H16" s="13" t="s">
        <v>47</v>
      </c>
      <c r="I16" s="33" t="s">
        <v>547</v>
      </c>
    </row>
    <row r="17" spans="1:9">
      <c r="A17" s="17" t="s">
        <v>257</v>
      </c>
      <c r="B17" s="17" t="s">
        <v>258</v>
      </c>
      <c r="C17" s="18">
        <v>45770</v>
      </c>
      <c r="D17" s="19">
        <v>13.42</v>
      </c>
      <c r="E17" s="18">
        <v>45775</v>
      </c>
      <c r="F17" s="19">
        <v>13.19</v>
      </c>
      <c r="G17" s="20">
        <f>F17/D17-1</f>
        <v>-0.0171385991058123</v>
      </c>
      <c r="H17" s="19" t="s">
        <v>111</v>
      </c>
      <c r="I17" s="19" t="s">
        <v>549</v>
      </c>
    </row>
    <row r="18" spans="1:9">
      <c r="A18" s="17" t="s">
        <v>132</v>
      </c>
      <c r="B18" s="17" t="s">
        <v>133</v>
      </c>
      <c r="C18" s="18">
        <v>45770</v>
      </c>
      <c r="D18" s="19">
        <v>11.3</v>
      </c>
      <c r="E18" s="18">
        <v>45775</v>
      </c>
      <c r="F18" s="19">
        <v>11.3</v>
      </c>
      <c r="G18" s="20">
        <f t="shared" ref="G16:G18" si="0">F18/D18-1</f>
        <v>0</v>
      </c>
      <c r="H18" s="19" t="s">
        <v>47</v>
      </c>
      <c r="I18" s="19" t="s">
        <v>640</v>
      </c>
    </row>
    <row r="20" spans="1:9">
      <c r="A20" s="27" t="s">
        <v>612</v>
      </c>
      <c r="B20" s="27"/>
      <c r="C20" s="27"/>
      <c r="D20" s="27"/>
      <c r="E20" s="27"/>
      <c r="F20" s="27"/>
      <c r="G20" s="27"/>
      <c r="H20" s="27"/>
      <c r="I20" s="27"/>
    </row>
    <row r="21" spans="1:9">
      <c r="A21" s="9" t="s">
        <v>19</v>
      </c>
      <c r="B21" s="9" t="s">
        <v>20</v>
      </c>
      <c r="C21" s="9" t="s">
        <v>21</v>
      </c>
      <c r="D21" s="9" t="s">
        <v>22</v>
      </c>
      <c r="E21" s="9" t="s">
        <v>23</v>
      </c>
      <c r="F21" s="9" t="s">
        <v>24</v>
      </c>
      <c r="G21" s="9" t="s">
        <v>25</v>
      </c>
      <c r="H21" s="9" t="s">
        <v>26</v>
      </c>
      <c r="I21" s="10" t="s">
        <v>27</v>
      </c>
    </row>
    <row r="22" spans="1:9">
      <c r="A22" s="17" t="s">
        <v>199</v>
      </c>
      <c r="B22" s="17" t="s">
        <v>200</v>
      </c>
      <c r="C22" s="18">
        <v>45777</v>
      </c>
      <c r="D22" s="19">
        <v>35.75</v>
      </c>
      <c r="E22" s="18">
        <v>45796</v>
      </c>
      <c r="F22" s="19">
        <v>35.65</v>
      </c>
      <c r="G22" s="20">
        <f t="shared" ref="G22:G53" si="1">F22/D22-1</f>
        <v>-0.00279720279720286</v>
      </c>
      <c r="H22" s="17" t="s">
        <v>111</v>
      </c>
      <c r="I22" s="19" t="s">
        <v>553</v>
      </c>
    </row>
    <row r="23" spans="1:9">
      <c r="A23" s="17" t="s">
        <v>69</v>
      </c>
      <c r="B23" s="17" t="s">
        <v>70</v>
      </c>
      <c r="C23" s="18">
        <v>45783</v>
      </c>
      <c r="D23" s="19">
        <v>9.65</v>
      </c>
      <c r="E23" s="18">
        <v>45789</v>
      </c>
      <c r="F23" s="19">
        <v>9.95</v>
      </c>
      <c r="G23" s="20">
        <f t="shared" si="1"/>
        <v>0.0310880829015543</v>
      </c>
      <c r="H23" s="19" t="s">
        <v>47</v>
      </c>
      <c r="I23" s="19" t="s">
        <v>555</v>
      </c>
    </row>
    <row r="24" spans="1:9">
      <c r="A24" s="17" t="s">
        <v>219</v>
      </c>
      <c r="B24" s="17" t="s">
        <v>220</v>
      </c>
      <c r="C24" s="18">
        <v>45797</v>
      </c>
      <c r="D24" s="19">
        <v>2.68</v>
      </c>
      <c r="E24" s="18">
        <v>45800</v>
      </c>
      <c r="F24" s="19">
        <v>2.59</v>
      </c>
      <c r="G24" s="20">
        <f t="shared" si="1"/>
        <v>-0.033582089552239</v>
      </c>
      <c r="H24" s="17" t="s">
        <v>30</v>
      </c>
      <c r="I24" s="19" t="s">
        <v>560</v>
      </c>
    </row>
    <row r="25" spans="1:9">
      <c r="A25" s="17" t="s">
        <v>214</v>
      </c>
      <c r="B25" s="17" t="s">
        <v>215</v>
      </c>
      <c r="C25" s="18">
        <v>45812</v>
      </c>
      <c r="D25" s="19">
        <v>4.08</v>
      </c>
      <c r="E25" s="18">
        <v>45826</v>
      </c>
      <c r="F25" s="19">
        <v>4.03</v>
      </c>
      <c r="G25" s="20">
        <f t="shared" si="1"/>
        <v>-0.0122549019607843</v>
      </c>
      <c r="H25" s="19" t="s">
        <v>47</v>
      </c>
      <c r="I25" s="19" t="s">
        <v>615</v>
      </c>
    </row>
    <row r="26" spans="1:9">
      <c r="A26" s="17" t="s">
        <v>219</v>
      </c>
      <c r="B26" s="17" t="s">
        <v>220</v>
      </c>
      <c r="C26" s="18">
        <v>45813</v>
      </c>
      <c r="D26" s="19">
        <v>2.65</v>
      </c>
      <c r="E26" s="18">
        <v>45821</v>
      </c>
      <c r="F26" s="19">
        <v>2.6</v>
      </c>
      <c r="G26" s="20">
        <f t="shared" si="1"/>
        <v>-0.0188679245283018</v>
      </c>
      <c r="H26" s="17" t="s">
        <v>30</v>
      </c>
      <c r="I26" s="19" t="s">
        <v>563</v>
      </c>
    </row>
    <row r="27" spans="1:9">
      <c r="A27" s="17" t="s">
        <v>105</v>
      </c>
      <c r="B27" s="17" t="s">
        <v>106</v>
      </c>
      <c r="C27" s="18">
        <v>45813</v>
      </c>
      <c r="D27" s="19">
        <v>4.32</v>
      </c>
      <c r="E27" s="18">
        <v>45827</v>
      </c>
      <c r="F27" s="19">
        <v>4.22</v>
      </c>
      <c r="G27" s="20">
        <f t="shared" si="1"/>
        <v>-0.0231481481481483</v>
      </c>
      <c r="H27" s="19" t="s">
        <v>47</v>
      </c>
      <c r="I27" s="19" t="s">
        <v>564</v>
      </c>
    </row>
    <row r="28" spans="1:9">
      <c r="A28" s="17" t="s">
        <v>122</v>
      </c>
      <c r="B28" s="17" t="s">
        <v>123</v>
      </c>
      <c r="C28" s="18">
        <v>45833</v>
      </c>
      <c r="D28" s="19">
        <v>28.19</v>
      </c>
      <c r="E28" s="18">
        <v>45835</v>
      </c>
      <c r="F28" s="19">
        <v>30.13</v>
      </c>
      <c r="G28" s="20">
        <f t="shared" si="1"/>
        <v>0.0688187300461156</v>
      </c>
      <c r="H28" s="17" t="s">
        <v>47</v>
      </c>
      <c r="I28" s="19" t="s">
        <v>616</v>
      </c>
    </row>
    <row r="29" spans="1:9">
      <c r="A29" s="17" t="s">
        <v>641</v>
      </c>
      <c r="B29" s="17" t="s">
        <v>642</v>
      </c>
      <c r="C29" s="18">
        <v>45833</v>
      </c>
      <c r="D29" s="19">
        <v>10.32</v>
      </c>
      <c r="E29" s="18">
        <v>45849</v>
      </c>
      <c r="F29" s="19">
        <v>10.45</v>
      </c>
      <c r="G29" s="20">
        <f t="shared" si="1"/>
        <v>0.012596899224806</v>
      </c>
      <c r="H29" s="17" t="s">
        <v>55</v>
      </c>
      <c r="I29" s="19" t="s">
        <v>643</v>
      </c>
    </row>
    <row r="30" spans="1:9">
      <c r="A30" s="17" t="s">
        <v>113</v>
      </c>
      <c r="B30" s="17" t="s">
        <v>114</v>
      </c>
      <c r="C30" s="18">
        <v>45838</v>
      </c>
      <c r="D30" s="19">
        <v>28.78</v>
      </c>
      <c r="E30" s="18">
        <v>45840</v>
      </c>
      <c r="F30" s="19">
        <v>28.22</v>
      </c>
      <c r="G30" s="20">
        <f t="shared" si="1"/>
        <v>-0.019457956914524</v>
      </c>
      <c r="H30" s="17" t="s">
        <v>30</v>
      </c>
      <c r="I30" s="19" t="s">
        <v>572</v>
      </c>
    </row>
    <row r="31" spans="1:9">
      <c r="A31" s="17" t="s">
        <v>662</v>
      </c>
      <c r="B31" s="17" t="s">
        <v>663</v>
      </c>
      <c r="C31" s="18">
        <v>45852</v>
      </c>
      <c r="D31" s="19">
        <v>2.51</v>
      </c>
      <c r="E31" s="18">
        <v>45853</v>
      </c>
      <c r="F31" s="19">
        <v>2.49</v>
      </c>
      <c r="G31" s="20">
        <f t="shared" si="1"/>
        <v>-0.00796812749003972</v>
      </c>
      <c r="H31" s="17" t="s">
        <v>55</v>
      </c>
      <c r="I31" s="19" t="s">
        <v>664</v>
      </c>
    </row>
    <row r="32" spans="1:9">
      <c r="A32" s="17" t="s">
        <v>99</v>
      </c>
      <c r="B32" s="17" t="s">
        <v>100</v>
      </c>
      <c r="C32" s="18">
        <v>45887</v>
      </c>
      <c r="D32" s="19">
        <v>6.94</v>
      </c>
      <c r="E32" s="18">
        <v>45909</v>
      </c>
      <c r="F32" s="19">
        <v>7.51</v>
      </c>
      <c r="G32" s="20">
        <f t="shared" si="1"/>
        <v>0.0821325648414986</v>
      </c>
      <c r="H32" s="17" t="s">
        <v>47</v>
      </c>
      <c r="I32" s="19" t="s">
        <v>578</v>
      </c>
    </row>
    <row r="33" spans="1:9">
      <c r="A33" s="17" t="s">
        <v>489</v>
      </c>
      <c r="B33" s="17" t="s">
        <v>490</v>
      </c>
      <c r="C33" s="18">
        <v>45895</v>
      </c>
      <c r="D33" s="19">
        <v>3.05</v>
      </c>
      <c r="E33" s="18">
        <v>45897</v>
      </c>
      <c r="F33" s="19">
        <v>2.98</v>
      </c>
      <c r="G33" s="20">
        <f t="shared" si="1"/>
        <v>-0.0229508196721311</v>
      </c>
      <c r="H33" s="17" t="s">
        <v>111</v>
      </c>
      <c r="I33" s="19" t="s">
        <v>644</v>
      </c>
    </row>
    <row r="34" spans="1:9">
      <c r="A34" s="17" t="s">
        <v>665</v>
      </c>
      <c r="B34" s="17" t="s">
        <v>666</v>
      </c>
      <c r="C34" s="18">
        <v>45903</v>
      </c>
      <c r="D34" s="19">
        <v>3.8</v>
      </c>
      <c r="E34" s="18">
        <v>45910</v>
      </c>
      <c r="F34" s="19">
        <v>3.93</v>
      </c>
      <c r="G34" s="20">
        <f t="shared" si="1"/>
        <v>0.0342105263157895</v>
      </c>
      <c r="H34" s="17" t="s">
        <v>55</v>
      </c>
      <c r="I34" s="19" t="s">
        <v>667</v>
      </c>
    </row>
    <row r="35" spans="1:9">
      <c r="A35" s="17" t="s">
        <v>668</v>
      </c>
      <c r="B35" s="17" t="s">
        <v>669</v>
      </c>
      <c r="C35" s="18">
        <v>45917</v>
      </c>
      <c r="D35" s="19">
        <v>6.34</v>
      </c>
      <c r="E35" s="18">
        <v>45922</v>
      </c>
      <c r="F35" s="19">
        <v>6.58</v>
      </c>
      <c r="G35" s="20">
        <f t="shared" si="1"/>
        <v>0.0378548895899053</v>
      </c>
      <c r="H35" s="17" t="s">
        <v>55</v>
      </c>
      <c r="I35" s="19" t="s">
        <v>670</v>
      </c>
    </row>
    <row r="36" spans="1:9">
      <c r="A36" s="17" t="s">
        <v>665</v>
      </c>
      <c r="B36" s="17" t="s">
        <v>666</v>
      </c>
      <c r="C36" s="18">
        <v>45918</v>
      </c>
      <c r="D36" s="19">
        <v>4.06</v>
      </c>
      <c r="E36" s="18">
        <v>45922</v>
      </c>
      <c r="F36" s="19">
        <v>3.91</v>
      </c>
      <c r="G36" s="20">
        <f t="shared" si="1"/>
        <v>-0.0369458128078817</v>
      </c>
      <c r="H36" s="17" t="s">
        <v>55</v>
      </c>
      <c r="I36" s="19" t="s">
        <v>671</v>
      </c>
    </row>
    <row r="37" spans="1:9">
      <c r="A37" s="17" t="s">
        <v>672</v>
      </c>
      <c r="B37" s="17" t="s">
        <v>673</v>
      </c>
      <c r="C37" s="18">
        <v>45926</v>
      </c>
      <c r="D37" s="19">
        <v>15.6</v>
      </c>
      <c r="E37" s="18">
        <v>45946</v>
      </c>
      <c r="F37" s="19">
        <v>14.84</v>
      </c>
      <c r="G37" s="20">
        <f t="shared" si="1"/>
        <v>-0.0487179487179487</v>
      </c>
      <c r="H37" s="17" t="s">
        <v>55</v>
      </c>
      <c r="I37" s="19" t="s">
        <v>674</v>
      </c>
    </row>
    <row r="38" spans="1:9">
      <c r="A38" s="17" t="s">
        <v>675</v>
      </c>
      <c r="B38" s="17" t="s">
        <v>676</v>
      </c>
      <c r="C38" s="18">
        <v>45940</v>
      </c>
      <c r="D38" s="19">
        <v>3.55</v>
      </c>
      <c r="E38" s="18">
        <v>45947</v>
      </c>
      <c r="F38" s="19">
        <v>3.4</v>
      </c>
      <c r="G38" s="20">
        <f t="shared" si="1"/>
        <v>-0.0422535211267605</v>
      </c>
      <c r="H38" s="17" t="s">
        <v>55</v>
      </c>
      <c r="I38" s="19" t="s">
        <v>677</v>
      </c>
    </row>
    <row r="39" spans="1:9">
      <c r="A39" s="17" t="s">
        <v>678</v>
      </c>
      <c r="B39" s="17" t="s">
        <v>679</v>
      </c>
      <c r="C39" s="18">
        <v>45940</v>
      </c>
      <c r="D39" s="19">
        <v>8.47</v>
      </c>
      <c r="E39" s="18">
        <v>45953</v>
      </c>
      <c r="F39" s="19">
        <v>8.64</v>
      </c>
      <c r="G39" s="20">
        <f t="shared" si="1"/>
        <v>0.0200708382526564</v>
      </c>
      <c r="H39" s="17" t="s">
        <v>55</v>
      </c>
      <c r="I39" s="19" t="s">
        <v>680</v>
      </c>
    </row>
    <row r="40" spans="1:9">
      <c r="A40" s="17" t="s">
        <v>69</v>
      </c>
      <c r="B40" s="17" t="s">
        <v>70</v>
      </c>
      <c r="C40" s="18">
        <v>45945</v>
      </c>
      <c r="D40" s="19">
        <v>13.63</v>
      </c>
      <c r="E40" s="18">
        <v>45952</v>
      </c>
      <c r="F40" s="19">
        <v>13</v>
      </c>
      <c r="G40" s="20">
        <f t="shared" si="1"/>
        <v>-0.0462215700660309</v>
      </c>
      <c r="H40" s="17" t="s">
        <v>55</v>
      </c>
      <c r="I40" s="19" t="s">
        <v>645</v>
      </c>
    </row>
    <row r="41" spans="1:9">
      <c r="A41" s="17" t="s">
        <v>93</v>
      </c>
      <c r="B41" s="17" t="s">
        <v>94</v>
      </c>
      <c r="C41" s="18">
        <v>45957</v>
      </c>
      <c r="D41" s="19">
        <v>30.2</v>
      </c>
      <c r="E41" s="18">
        <v>45961</v>
      </c>
      <c r="F41" s="19">
        <v>30.11</v>
      </c>
      <c r="G41" s="20">
        <f t="shared" si="1"/>
        <v>-0.00298013245033113</v>
      </c>
      <c r="H41" s="17" t="s">
        <v>55</v>
      </c>
      <c r="I41" s="19" t="s">
        <v>681</v>
      </c>
    </row>
    <row r="42" spans="1:9">
      <c r="A42" s="17" t="s">
        <v>646</v>
      </c>
      <c r="B42" s="17" t="s">
        <v>647</v>
      </c>
      <c r="C42" s="18">
        <v>45959</v>
      </c>
      <c r="D42" s="19">
        <v>15.49</v>
      </c>
      <c r="E42" s="18">
        <v>45968</v>
      </c>
      <c r="F42" s="19">
        <v>15.12</v>
      </c>
      <c r="G42" s="20">
        <f t="shared" si="1"/>
        <v>-0.0238863783085862</v>
      </c>
      <c r="H42" s="17" t="s">
        <v>55</v>
      </c>
      <c r="I42" s="19" t="s">
        <v>648</v>
      </c>
    </row>
    <row r="43" spans="1:9">
      <c r="A43" s="17" t="s">
        <v>682</v>
      </c>
      <c r="B43" s="17" t="s">
        <v>683</v>
      </c>
      <c r="C43" s="18">
        <v>45971</v>
      </c>
      <c r="D43" s="19">
        <v>3.66</v>
      </c>
      <c r="E43" s="18">
        <v>45979</v>
      </c>
      <c r="F43" s="19">
        <v>3.7</v>
      </c>
      <c r="G43" s="20">
        <f t="shared" si="1"/>
        <v>0.0109289617486339</v>
      </c>
      <c r="H43" s="19" t="s">
        <v>55</v>
      </c>
      <c r="I43" s="19" t="s">
        <v>684</v>
      </c>
    </row>
    <row r="44" spans="1:9">
      <c r="A44" s="17" t="s">
        <v>649</v>
      </c>
      <c r="B44" s="17" t="s">
        <v>650</v>
      </c>
      <c r="C44" s="18">
        <v>45972</v>
      </c>
      <c r="D44" s="19">
        <v>15.4</v>
      </c>
      <c r="E44" s="18">
        <v>45978</v>
      </c>
      <c r="F44" s="19">
        <v>15.18</v>
      </c>
      <c r="G44" s="20">
        <f t="shared" si="1"/>
        <v>-0.0142857142857143</v>
      </c>
      <c r="H44" s="17" t="s">
        <v>55</v>
      </c>
      <c r="I44" s="19" t="s">
        <v>651</v>
      </c>
    </row>
    <row r="45" spans="1:9">
      <c r="A45" s="17" t="s">
        <v>441</v>
      </c>
      <c r="B45" s="17" t="s">
        <v>442</v>
      </c>
      <c r="C45" s="18">
        <v>46003</v>
      </c>
      <c r="D45" s="19">
        <v>2.97</v>
      </c>
      <c r="E45" s="18">
        <v>46014</v>
      </c>
      <c r="F45" s="19">
        <v>3.07</v>
      </c>
      <c r="G45" s="20">
        <f t="shared" si="1"/>
        <v>0.0336700336700335</v>
      </c>
      <c r="H45" s="17" t="s">
        <v>111</v>
      </c>
      <c r="I45" s="19" t="s">
        <v>587</v>
      </c>
    </row>
    <row r="46" spans="1:9">
      <c r="A46" s="17" t="s">
        <v>652</v>
      </c>
      <c r="B46" s="17" t="s">
        <v>653</v>
      </c>
      <c r="C46" s="18">
        <v>46003</v>
      </c>
      <c r="D46" s="19">
        <v>9.24</v>
      </c>
      <c r="E46" s="18">
        <v>46008</v>
      </c>
      <c r="F46" s="19">
        <v>9.15</v>
      </c>
      <c r="G46" s="20">
        <f t="shared" si="1"/>
        <v>-0.00974025974025972</v>
      </c>
      <c r="H46" s="17" t="s">
        <v>111</v>
      </c>
      <c r="I46" s="19" t="s">
        <v>654</v>
      </c>
    </row>
    <row r="47" spans="1:9">
      <c r="A47" s="17" t="s">
        <v>515</v>
      </c>
      <c r="B47" s="17" t="s">
        <v>516</v>
      </c>
      <c r="C47" s="18">
        <v>46015</v>
      </c>
      <c r="D47" s="19">
        <v>38.18</v>
      </c>
      <c r="E47" s="18">
        <v>46020</v>
      </c>
      <c r="F47" s="19">
        <v>37.25</v>
      </c>
      <c r="G47" s="20">
        <f t="shared" si="1"/>
        <v>-0.0243583027763227</v>
      </c>
      <c r="H47" s="17" t="s">
        <v>55</v>
      </c>
      <c r="I47" s="19" t="s">
        <v>655</v>
      </c>
    </row>
    <row r="48" spans="1:9">
      <c r="A48" s="17" t="s">
        <v>685</v>
      </c>
      <c r="B48" s="17" t="s">
        <v>686</v>
      </c>
      <c r="C48" s="18">
        <v>46079</v>
      </c>
      <c r="D48" s="19">
        <v>3.15</v>
      </c>
      <c r="E48" s="18">
        <v>46085</v>
      </c>
      <c r="F48" s="19">
        <v>3.08</v>
      </c>
      <c r="G48" s="20">
        <f t="shared" si="1"/>
        <v>-0.0222222222222221</v>
      </c>
      <c r="H48" s="17" t="s">
        <v>55</v>
      </c>
      <c r="I48" s="19" t="s">
        <v>687</v>
      </c>
    </row>
    <row r="49" spans="1:9">
      <c r="A49" s="17" t="s">
        <v>688</v>
      </c>
      <c r="B49" s="17" t="s">
        <v>689</v>
      </c>
      <c r="C49" s="18">
        <v>46083</v>
      </c>
      <c r="D49" s="19">
        <v>2.41</v>
      </c>
      <c r="E49" s="18">
        <v>46084</v>
      </c>
      <c r="F49" s="19">
        <v>2.37</v>
      </c>
      <c r="G49" s="20">
        <f t="shared" si="1"/>
        <v>-0.016597510373444</v>
      </c>
      <c r="H49" s="17" t="s">
        <v>55</v>
      </c>
      <c r="I49" s="19" t="s">
        <v>690</v>
      </c>
    </row>
    <row r="50" spans="1:9">
      <c r="A50" s="17" t="s">
        <v>691</v>
      </c>
      <c r="B50" s="17" t="s">
        <v>692</v>
      </c>
      <c r="C50" s="18">
        <v>46084</v>
      </c>
      <c r="D50" s="19">
        <v>11.16</v>
      </c>
      <c r="E50" s="18">
        <v>46085</v>
      </c>
      <c r="F50" s="19">
        <v>10.97</v>
      </c>
      <c r="G50" s="20">
        <f t="shared" si="1"/>
        <v>-0.0170250896057347</v>
      </c>
      <c r="H50" s="17" t="s">
        <v>55</v>
      </c>
      <c r="I50" s="19" t="s">
        <v>693</v>
      </c>
    </row>
    <row r="51" spans="1:9">
      <c r="A51" s="17" t="s">
        <v>694</v>
      </c>
      <c r="B51" s="17" t="s">
        <v>695</v>
      </c>
      <c r="C51" s="18">
        <v>46121</v>
      </c>
      <c r="D51" s="19">
        <v>4.3</v>
      </c>
      <c r="E51" s="18">
        <v>46125</v>
      </c>
      <c r="F51" s="19">
        <v>4.19</v>
      </c>
      <c r="G51" s="20">
        <f t="shared" si="1"/>
        <v>-0.0255813953488371</v>
      </c>
      <c r="H51" s="17" t="s">
        <v>55</v>
      </c>
      <c r="I51" s="19" t="s">
        <v>696</v>
      </c>
    </row>
    <row r="52" spans="1:9">
      <c r="A52" s="17" t="s">
        <v>657</v>
      </c>
      <c r="B52" s="17" t="s">
        <v>658</v>
      </c>
      <c r="C52" s="18">
        <v>46134</v>
      </c>
      <c r="D52" s="19">
        <v>5.51</v>
      </c>
      <c r="E52" s="18">
        <v>46136</v>
      </c>
      <c r="F52" s="19">
        <v>5.41</v>
      </c>
      <c r="G52" s="40">
        <f t="shared" si="1"/>
        <v>-0.0181488203266787</v>
      </c>
      <c r="H52" s="19" t="s">
        <v>55</v>
      </c>
      <c r="I52" s="19" t="s">
        <v>659</v>
      </c>
    </row>
    <row r="53" spans="1:9">
      <c r="A53" s="17" t="s">
        <v>697</v>
      </c>
      <c r="B53" s="17" t="s">
        <v>698</v>
      </c>
      <c r="C53" s="18">
        <v>46161</v>
      </c>
      <c r="D53" s="19">
        <v>4.27</v>
      </c>
      <c r="E53" s="18">
        <v>46181</v>
      </c>
      <c r="F53" s="19">
        <v>4.46</v>
      </c>
      <c r="G53" s="40">
        <f t="shared" si="1"/>
        <v>0.044496487119438</v>
      </c>
      <c r="H53" s="17" t="s">
        <v>111</v>
      </c>
      <c r="I53" s="19" t="s">
        <v>699</v>
      </c>
    </row>
  </sheetData>
  <mergeCells count="22">
    <mergeCell ref="A1:G1"/>
    <mergeCell ref="A2:G2"/>
    <mergeCell ref="A3:G3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3:C13"/>
    <mergeCell ref="D13:G13"/>
    <mergeCell ref="A20:I2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I37"/>
  <sheetViews>
    <sheetView topLeftCell="A11" workbookViewId="0">
      <selection activeCell="E48" sqref="E48"/>
    </sheetView>
  </sheetViews>
  <sheetFormatPr defaultColWidth="9" defaultRowHeight="13.5"/>
  <cols>
    <col min="1" max="1" width="17.5" customWidth="1"/>
    <col min="2" max="2" width="22.25" customWidth="1"/>
    <col min="3" max="3" width="20.125" customWidth="1"/>
    <col min="4" max="4" width="21.375" customWidth="1"/>
    <col min="5" max="5" width="16" customWidth="1"/>
    <col min="6" max="6" width="16.125" customWidth="1"/>
    <col min="7" max="7" width="11.625" customWidth="1"/>
    <col min="9" max="9" width="56.25" customWidth="1"/>
    <col min="12" max="12" width="11.5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2" t="s">
        <v>2</v>
      </c>
      <c r="B3" s="2"/>
      <c r="C3" s="2"/>
      <c r="D3" s="2"/>
      <c r="E3" s="2"/>
      <c r="F3" s="2"/>
      <c r="G3" s="2"/>
    </row>
    <row r="5" spans="1:9">
      <c r="A5" s="1" t="s">
        <v>3</v>
      </c>
      <c r="B5" s="1" t="s">
        <v>4</v>
      </c>
      <c r="C5" s="1"/>
      <c r="D5" s="1" t="s">
        <v>5</v>
      </c>
      <c r="E5" s="1"/>
      <c r="F5" s="1"/>
      <c r="G5" s="1"/>
    </row>
    <row r="6" spans="1:9">
      <c r="A6" s="3" t="s">
        <v>660</v>
      </c>
      <c r="B6" s="3" t="s">
        <v>638</v>
      </c>
      <c r="C6" s="3"/>
      <c r="D6" s="3" t="s">
        <v>661</v>
      </c>
      <c r="E6" s="3"/>
      <c r="F6" s="3"/>
      <c r="G6" s="3"/>
    </row>
    <row r="7" spans="1:9">
      <c r="A7" s="3" t="s">
        <v>11</v>
      </c>
      <c r="B7" s="2" t="s">
        <v>700</v>
      </c>
      <c r="C7" s="2"/>
      <c r="D7" s="3" t="s">
        <v>13</v>
      </c>
      <c r="E7" s="3"/>
      <c r="F7" s="3"/>
      <c r="G7" s="3"/>
    </row>
    <row r="8" spans="1:9">
      <c r="A8" s="3" t="s">
        <v>701</v>
      </c>
      <c r="B8" s="3">
        <f>3</f>
        <v>3</v>
      </c>
      <c r="C8" s="3"/>
      <c r="D8" s="3" t="s">
        <v>702</v>
      </c>
      <c r="E8" s="3"/>
      <c r="F8" s="3"/>
      <c r="G8" s="3"/>
    </row>
    <row r="9" spans="1:9">
      <c r="A9" s="3" t="s">
        <v>542</v>
      </c>
      <c r="B9" s="6" t="s">
        <v>543</v>
      </c>
      <c r="C9" s="8"/>
      <c r="D9" s="6" t="s">
        <v>544</v>
      </c>
      <c r="E9" s="7"/>
      <c r="F9" s="7"/>
      <c r="G9" s="8"/>
    </row>
    <row r="10" spans="1:9">
      <c r="A10" s="3" t="s">
        <v>603</v>
      </c>
      <c r="B10" s="6" t="s">
        <v>604</v>
      </c>
      <c r="C10" s="8"/>
      <c r="D10" s="6" t="s">
        <v>703</v>
      </c>
      <c r="E10" s="7"/>
      <c r="F10" s="7"/>
      <c r="G10" s="8"/>
    </row>
    <row r="11" ht="47" customHeight="1" spans="1:9">
      <c r="A11" s="3" t="s">
        <v>16</v>
      </c>
      <c r="B11" s="2" t="s">
        <v>17</v>
      </c>
      <c r="C11" s="2"/>
      <c r="D11" s="3" t="s">
        <v>18</v>
      </c>
      <c r="E11" s="3"/>
      <c r="F11" s="3"/>
      <c r="G11" s="3"/>
    </row>
    <row r="13" ht="15" spans="1:9">
      <c r="A13" s="9" t="s">
        <v>19</v>
      </c>
      <c r="B13" s="9" t="s">
        <v>20</v>
      </c>
      <c r="C13" s="9" t="s">
        <v>21</v>
      </c>
      <c r="D13" s="9" t="s">
        <v>22</v>
      </c>
      <c r="E13" s="9" t="s">
        <v>23</v>
      </c>
      <c r="F13" s="9" t="s">
        <v>545</v>
      </c>
      <c r="G13" s="9" t="s">
        <v>25</v>
      </c>
      <c r="H13" s="9" t="s">
        <v>26</v>
      </c>
      <c r="I13" s="10" t="s">
        <v>27</v>
      </c>
    </row>
    <row r="14" spans="1:9">
      <c r="A14" s="17" t="s">
        <v>704</v>
      </c>
      <c r="B14" s="17" t="s">
        <v>705</v>
      </c>
      <c r="C14" s="18">
        <v>45764</v>
      </c>
      <c r="D14" s="19">
        <v>8.51</v>
      </c>
      <c r="E14" s="18">
        <v>45775</v>
      </c>
      <c r="F14" s="19">
        <v>8.3</v>
      </c>
      <c r="G14" s="20">
        <f>F14/D14-1</f>
        <v>-0.0246768507638072</v>
      </c>
      <c r="H14" s="19" t="s">
        <v>47</v>
      </c>
      <c r="I14" s="19" t="s">
        <v>706</v>
      </c>
    </row>
    <row r="15" spans="1:9">
      <c r="A15" s="31" t="s">
        <v>138</v>
      </c>
      <c r="B15" s="31" t="s">
        <v>139</v>
      </c>
      <c r="C15" s="36">
        <v>45769</v>
      </c>
      <c r="D15" s="37">
        <v>13.67</v>
      </c>
      <c r="E15" s="37"/>
      <c r="F15" s="37">
        <v>13.86</v>
      </c>
      <c r="G15" s="38">
        <f>F15/D15-1</f>
        <v>0.013899049012436</v>
      </c>
      <c r="H15" s="37" t="s">
        <v>47</v>
      </c>
      <c r="I15" s="37" t="s">
        <v>707</v>
      </c>
    </row>
    <row r="16" spans="1:9">
      <c r="A16" s="17" t="s">
        <v>489</v>
      </c>
      <c r="B16" s="17" t="s">
        <v>490</v>
      </c>
      <c r="C16" s="18">
        <v>45769</v>
      </c>
      <c r="D16" s="19">
        <v>3.08</v>
      </c>
      <c r="E16" s="18">
        <v>45775</v>
      </c>
      <c r="F16" s="19">
        <v>2.99</v>
      </c>
      <c r="G16" s="20">
        <f t="shared" ref="G16:G34" si="0">F16/D16-1</f>
        <v>-0.0292207792207791</v>
      </c>
      <c r="H16" s="19" t="s">
        <v>111</v>
      </c>
      <c r="I16" s="19" t="s">
        <v>708</v>
      </c>
    </row>
    <row r="17" spans="1:9">
      <c r="A17" s="31" t="s">
        <v>141</v>
      </c>
      <c r="B17" s="31" t="s">
        <v>142</v>
      </c>
      <c r="C17" s="32">
        <v>45769</v>
      </c>
      <c r="D17" s="33">
        <v>8.47</v>
      </c>
      <c r="E17" s="33"/>
      <c r="F17" s="33">
        <v>8.89</v>
      </c>
      <c r="G17" s="34">
        <f t="shared" si="0"/>
        <v>0.0495867768595042</v>
      </c>
      <c r="H17" s="33" t="s">
        <v>47</v>
      </c>
      <c r="I17" s="33" t="s">
        <v>547</v>
      </c>
    </row>
    <row r="19" spans="1:9">
      <c r="A19" s="27" t="s">
        <v>709</v>
      </c>
      <c r="B19" s="27"/>
      <c r="C19" s="27"/>
      <c r="D19" s="27"/>
      <c r="E19" s="27"/>
      <c r="F19" s="27"/>
      <c r="G19" s="27"/>
      <c r="H19" s="27"/>
      <c r="I19" s="27"/>
    </row>
    <row r="20" spans="1:9">
      <c r="A20" s="9" t="s">
        <v>19</v>
      </c>
      <c r="B20" s="9" t="s">
        <v>20</v>
      </c>
      <c r="C20" s="9" t="s">
        <v>21</v>
      </c>
      <c r="D20" s="9" t="s">
        <v>22</v>
      </c>
      <c r="E20" s="9" t="s">
        <v>23</v>
      </c>
      <c r="F20" s="9" t="s">
        <v>24</v>
      </c>
      <c r="G20" s="9" t="s">
        <v>25</v>
      </c>
      <c r="H20" s="9" t="s">
        <v>26</v>
      </c>
      <c r="I20" s="10" t="s">
        <v>27</v>
      </c>
    </row>
    <row r="21" spans="1:9">
      <c r="A21" s="17" t="s">
        <v>113</v>
      </c>
      <c r="B21" s="17" t="s">
        <v>114</v>
      </c>
      <c r="C21" s="18">
        <v>45783</v>
      </c>
      <c r="D21" s="19">
        <v>29.46</v>
      </c>
      <c r="E21" s="18">
        <v>45793</v>
      </c>
      <c r="F21" s="19">
        <v>31.12</v>
      </c>
      <c r="G21" s="20">
        <f t="shared" si="0"/>
        <v>0.0563475899524779</v>
      </c>
      <c r="H21" s="17" t="s">
        <v>30</v>
      </c>
      <c r="I21" s="19" t="s">
        <v>710</v>
      </c>
    </row>
    <row r="22" spans="1:9">
      <c r="A22" s="17" t="s">
        <v>122</v>
      </c>
      <c r="B22" s="17" t="s">
        <v>123</v>
      </c>
      <c r="C22" s="18">
        <v>45784</v>
      </c>
      <c r="D22" s="19">
        <v>28.46</v>
      </c>
      <c r="E22" s="18">
        <v>45793</v>
      </c>
      <c r="F22" s="19">
        <v>28.67</v>
      </c>
      <c r="G22" s="20">
        <f t="shared" si="0"/>
        <v>0.00737877723120173</v>
      </c>
      <c r="H22" s="19" t="s">
        <v>47</v>
      </c>
      <c r="I22" s="19" t="s">
        <v>711</v>
      </c>
    </row>
    <row r="23" spans="1:9">
      <c r="A23" s="17" t="s">
        <v>99</v>
      </c>
      <c r="B23" s="17" t="s">
        <v>100</v>
      </c>
      <c r="C23" s="18">
        <v>45786</v>
      </c>
      <c r="D23" s="19">
        <v>6.71</v>
      </c>
      <c r="E23" s="18">
        <v>45789</v>
      </c>
      <c r="F23" s="19">
        <v>6.65</v>
      </c>
      <c r="G23" s="20">
        <f t="shared" si="0"/>
        <v>-0.00894187779433675</v>
      </c>
      <c r="H23" s="17" t="s">
        <v>111</v>
      </c>
      <c r="I23" s="19" t="s">
        <v>712</v>
      </c>
    </row>
    <row r="24" spans="1:9">
      <c r="A24" s="17" t="s">
        <v>214</v>
      </c>
      <c r="B24" s="17" t="s">
        <v>215</v>
      </c>
      <c r="C24" s="18">
        <v>45812</v>
      </c>
      <c r="D24" s="19">
        <v>4.08</v>
      </c>
      <c r="E24" s="18">
        <v>45826</v>
      </c>
      <c r="F24" s="19">
        <v>4.03</v>
      </c>
      <c r="G24" s="20">
        <f t="shared" si="0"/>
        <v>-0.0122549019607843</v>
      </c>
      <c r="H24" s="19" t="s">
        <v>47</v>
      </c>
      <c r="I24" s="19" t="s">
        <v>713</v>
      </c>
    </row>
    <row r="25" spans="1:9">
      <c r="A25" s="17" t="s">
        <v>113</v>
      </c>
      <c r="B25" s="17" t="s">
        <v>114</v>
      </c>
      <c r="C25" s="18">
        <v>45814</v>
      </c>
      <c r="D25" s="19">
        <v>29.81</v>
      </c>
      <c r="E25" s="18">
        <v>45821</v>
      </c>
      <c r="F25" s="19">
        <v>28.84</v>
      </c>
      <c r="G25" s="20">
        <f t="shared" si="0"/>
        <v>-0.0325394163032539</v>
      </c>
      <c r="H25" s="17" t="s">
        <v>30</v>
      </c>
      <c r="I25" s="19" t="s">
        <v>714</v>
      </c>
    </row>
    <row r="26" spans="1:9">
      <c r="A26" s="17" t="s">
        <v>122</v>
      </c>
      <c r="B26" s="17" t="s">
        <v>123</v>
      </c>
      <c r="C26" s="18">
        <v>45833</v>
      </c>
      <c r="D26" s="19">
        <v>28.19</v>
      </c>
      <c r="E26" s="18">
        <v>45835</v>
      </c>
      <c r="F26" s="19">
        <v>30.13</v>
      </c>
      <c r="G26" s="20">
        <f t="shared" si="0"/>
        <v>0.0688187300461156</v>
      </c>
      <c r="H26" s="17" t="s">
        <v>47</v>
      </c>
      <c r="I26" s="19" t="s">
        <v>715</v>
      </c>
    </row>
    <row r="27" spans="1:9">
      <c r="A27" s="17" t="s">
        <v>78</v>
      </c>
      <c r="B27" s="17" t="s">
        <v>79</v>
      </c>
      <c r="C27" s="18">
        <v>45833</v>
      </c>
      <c r="D27" s="19">
        <v>14.3</v>
      </c>
      <c r="E27" s="18">
        <v>45841</v>
      </c>
      <c r="F27" s="19">
        <v>16.92</v>
      </c>
      <c r="G27" s="20">
        <f t="shared" si="0"/>
        <v>0.183216783216783</v>
      </c>
      <c r="H27" s="19" t="s">
        <v>111</v>
      </c>
      <c r="I27" s="19" t="s">
        <v>716</v>
      </c>
    </row>
    <row r="28" spans="1:9">
      <c r="A28" s="17" t="s">
        <v>214</v>
      </c>
      <c r="B28" s="17" t="s">
        <v>215</v>
      </c>
      <c r="C28" s="18">
        <v>45834</v>
      </c>
      <c r="D28" s="19">
        <v>4.05</v>
      </c>
      <c r="E28" s="18">
        <v>45852</v>
      </c>
      <c r="F28" s="19">
        <v>4.13</v>
      </c>
      <c r="G28" s="20">
        <f t="shared" si="0"/>
        <v>0.019753086419753</v>
      </c>
      <c r="H28" s="17" t="s">
        <v>47</v>
      </c>
      <c r="I28" s="19" t="s">
        <v>717</v>
      </c>
    </row>
    <row r="29" spans="1:9">
      <c r="A29" s="17" t="s">
        <v>28</v>
      </c>
      <c r="B29" s="17" t="s">
        <v>29</v>
      </c>
      <c r="C29" s="18">
        <v>45834</v>
      </c>
      <c r="D29" s="19">
        <v>19.66</v>
      </c>
      <c r="E29" s="18">
        <v>45841</v>
      </c>
      <c r="F29" s="19">
        <v>23.54</v>
      </c>
      <c r="G29" s="20">
        <f t="shared" si="0"/>
        <v>0.19735503560529</v>
      </c>
      <c r="H29" s="17" t="s">
        <v>271</v>
      </c>
      <c r="I29" s="19" t="s">
        <v>718</v>
      </c>
    </row>
    <row r="30" spans="1:9">
      <c r="A30" s="17" t="s">
        <v>75</v>
      </c>
      <c r="B30" s="17" t="s">
        <v>76</v>
      </c>
      <c r="C30" s="18">
        <v>45834</v>
      </c>
      <c r="D30" s="19">
        <v>7.42</v>
      </c>
      <c r="E30" s="18">
        <v>45841</v>
      </c>
      <c r="F30" s="19">
        <v>7.93</v>
      </c>
      <c r="G30" s="20">
        <f t="shared" si="0"/>
        <v>0.068733153638814</v>
      </c>
      <c r="H30" s="17" t="s">
        <v>111</v>
      </c>
      <c r="I30" s="19" t="s">
        <v>719</v>
      </c>
    </row>
    <row r="31" spans="1:9">
      <c r="A31" s="17" t="s">
        <v>75</v>
      </c>
      <c r="B31" s="17" t="s">
        <v>76</v>
      </c>
      <c r="C31" s="18">
        <v>45894</v>
      </c>
      <c r="D31" s="19">
        <v>8.5</v>
      </c>
      <c r="E31" s="18">
        <v>45902</v>
      </c>
      <c r="F31" s="19">
        <v>8.16</v>
      </c>
      <c r="G31" s="20">
        <f t="shared" si="0"/>
        <v>-0.04</v>
      </c>
      <c r="H31" s="17" t="s">
        <v>30</v>
      </c>
      <c r="I31" s="19" t="s">
        <v>720</v>
      </c>
    </row>
    <row r="32" spans="1:9">
      <c r="A32" s="17" t="s">
        <v>721</v>
      </c>
      <c r="B32" s="17" t="s">
        <v>722</v>
      </c>
      <c r="C32" s="18">
        <v>45905</v>
      </c>
      <c r="D32" s="19">
        <v>24.95</v>
      </c>
      <c r="E32" s="18">
        <v>45919</v>
      </c>
      <c r="F32" s="19">
        <v>25.22</v>
      </c>
      <c r="G32" s="20">
        <f t="shared" si="0"/>
        <v>0.0108216432865731</v>
      </c>
      <c r="H32" s="17" t="s">
        <v>30</v>
      </c>
      <c r="I32" s="19" t="s">
        <v>723</v>
      </c>
    </row>
    <row r="33" spans="1:9">
      <c r="A33" s="17" t="s">
        <v>724</v>
      </c>
      <c r="B33" s="17" t="s">
        <v>725</v>
      </c>
      <c r="C33" s="18">
        <v>45909</v>
      </c>
      <c r="D33" s="19">
        <v>7.02</v>
      </c>
      <c r="E33" s="18">
        <v>45918</v>
      </c>
      <c r="F33" s="19">
        <v>6.58</v>
      </c>
      <c r="G33" s="20">
        <f t="shared" si="0"/>
        <v>-0.0626780626780626</v>
      </c>
      <c r="H33" s="17" t="s">
        <v>30</v>
      </c>
      <c r="I33" s="19" t="s">
        <v>726</v>
      </c>
    </row>
    <row r="34" spans="1:9">
      <c r="A34" s="17" t="s">
        <v>260</v>
      </c>
      <c r="B34" s="17" t="s">
        <v>261</v>
      </c>
      <c r="C34" s="18">
        <v>45966</v>
      </c>
      <c r="D34" s="19">
        <v>21</v>
      </c>
      <c r="E34" s="18">
        <v>45978</v>
      </c>
      <c r="F34" s="19">
        <v>21.24</v>
      </c>
      <c r="G34" s="20">
        <f t="shared" si="0"/>
        <v>0.0114285714285713</v>
      </c>
      <c r="H34" s="19" t="s">
        <v>47</v>
      </c>
      <c r="I34" s="19" t="s">
        <v>727</v>
      </c>
    </row>
    <row r="35" spans="1:9">
      <c r="A35" s="29" t="s">
        <v>441</v>
      </c>
      <c r="B35" s="29" t="s">
        <v>442</v>
      </c>
      <c r="C35" s="30"/>
      <c r="D35" s="30"/>
      <c r="E35" s="30"/>
      <c r="F35" s="30"/>
      <c r="G35" s="30"/>
      <c r="H35" s="29" t="s">
        <v>111</v>
      </c>
      <c r="I35" s="30" t="s">
        <v>728</v>
      </c>
    </row>
    <row r="36" spans="1:9">
      <c r="A36" s="17" t="s">
        <v>441</v>
      </c>
      <c r="B36" s="17" t="s">
        <v>442</v>
      </c>
      <c r="C36" s="18">
        <v>46001</v>
      </c>
      <c r="D36" s="19">
        <v>3.2</v>
      </c>
      <c r="E36" s="18">
        <v>46002</v>
      </c>
      <c r="F36" s="19">
        <v>3.13</v>
      </c>
      <c r="G36" s="20">
        <f>F36/D36-1</f>
        <v>-0.0218750000000001</v>
      </c>
      <c r="H36" s="19" t="s">
        <v>111</v>
      </c>
      <c r="I36" s="19" t="s">
        <v>729</v>
      </c>
    </row>
    <row r="37" spans="1:9">
      <c r="A37" s="17" t="s">
        <v>276</v>
      </c>
      <c r="B37" s="17" t="s">
        <v>277</v>
      </c>
      <c r="C37" s="18">
        <v>46010</v>
      </c>
      <c r="D37" s="19">
        <v>6.65</v>
      </c>
      <c r="E37" s="18">
        <v>46013</v>
      </c>
      <c r="F37" s="19">
        <v>6.55</v>
      </c>
      <c r="G37" s="20">
        <f>F37/D37-1</f>
        <v>-0.0150375939849625</v>
      </c>
      <c r="H37" s="19" t="s">
        <v>47</v>
      </c>
      <c r="I37" s="19" t="s">
        <v>730</v>
      </c>
    </row>
  </sheetData>
  <mergeCells count="18">
    <mergeCell ref="A1:G1"/>
    <mergeCell ref="A2:G2"/>
    <mergeCell ref="A3:G3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A19:I1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I45"/>
  <sheetViews>
    <sheetView topLeftCell="A10" workbookViewId="0">
      <selection activeCell="A45" sqref="A45:B45"/>
    </sheetView>
  </sheetViews>
  <sheetFormatPr defaultColWidth="9" defaultRowHeight="13.5"/>
  <cols>
    <col min="1" max="1" width="17.5" customWidth="1"/>
    <col min="2" max="2" width="22.25" customWidth="1"/>
    <col min="3" max="3" width="20.125" customWidth="1"/>
    <col min="4" max="4" width="20.25" customWidth="1"/>
    <col min="5" max="5" width="16" customWidth="1"/>
    <col min="6" max="6" width="16.125" customWidth="1"/>
    <col min="7" max="7" width="11.625" customWidth="1"/>
    <col min="9" max="9" width="59.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2" t="s">
        <v>2</v>
      </c>
      <c r="B3" s="2"/>
      <c r="C3" s="2"/>
      <c r="D3" s="2"/>
      <c r="E3" s="2"/>
      <c r="F3" s="2"/>
      <c r="G3" s="2"/>
    </row>
    <row r="5" spans="1:9">
      <c r="A5" s="1" t="s">
        <v>3</v>
      </c>
      <c r="B5" s="1" t="s">
        <v>4</v>
      </c>
      <c r="C5" s="1"/>
      <c r="D5" s="1" t="s">
        <v>5</v>
      </c>
      <c r="E5" s="1"/>
      <c r="F5" s="1"/>
      <c r="G5" s="1"/>
    </row>
    <row r="6" spans="1:9">
      <c r="A6" s="3" t="s">
        <v>660</v>
      </c>
      <c r="B6" s="3" t="s">
        <v>638</v>
      </c>
      <c r="C6" s="3"/>
      <c r="D6" s="3" t="s">
        <v>661</v>
      </c>
      <c r="E6" s="3"/>
      <c r="F6" s="3"/>
      <c r="G6" s="3"/>
    </row>
    <row r="7" spans="1:9">
      <c r="A7" s="3" t="s">
        <v>11</v>
      </c>
      <c r="B7" s="2" t="s">
        <v>700</v>
      </c>
      <c r="C7" s="2"/>
      <c r="D7" s="3" t="s">
        <v>13</v>
      </c>
      <c r="E7" s="3"/>
      <c r="F7" s="3"/>
      <c r="G7" s="3"/>
    </row>
    <row r="8" spans="1:9">
      <c r="A8" s="3" t="s">
        <v>731</v>
      </c>
      <c r="B8" s="3" t="s">
        <v>604</v>
      </c>
      <c r="C8" s="3"/>
      <c r="D8" s="3" t="s">
        <v>732</v>
      </c>
      <c r="E8" s="3"/>
      <c r="F8" s="3"/>
      <c r="G8" s="3"/>
    </row>
    <row r="9" spans="1:9">
      <c r="A9" s="3" t="s">
        <v>733</v>
      </c>
      <c r="B9" s="6">
        <v>3</v>
      </c>
      <c r="C9" s="8"/>
      <c r="D9" s="3" t="s">
        <v>732</v>
      </c>
      <c r="E9" s="3"/>
      <c r="F9" s="3"/>
      <c r="G9" s="3"/>
    </row>
    <row r="10" spans="1:9">
      <c r="A10" s="3" t="s">
        <v>542</v>
      </c>
      <c r="B10" s="6" t="s">
        <v>543</v>
      </c>
      <c r="C10" s="8"/>
      <c r="D10" s="6" t="s">
        <v>544</v>
      </c>
      <c r="E10" s="7"/>
      <c r="F10" s="7"/>
      <c r="G10" s="8"/>
    </row>
    <row r="11" spans="1:9">
      <c r="A11" s="3" t="s">
        <v>603</v>
      </c>
      <c r="B11" s="6" t="s">
        <v>604</v>
      </c>
      <c r="C11" s="8"/>
      <c r="D11" s="6" t="s">
        <v>734</v>
      </c>
      <c r="E11" s="7"/>
      <c r="F11" s="7"/>
      <c r="G11" s="8"/>
    </row>
    <row r="12" ht="53" customHeight="1" spans="1:9">
      <c r="A12" s="3" t="s">
        <v>16</v>
      </c>
      <c r="B12" s="2" t="s">
        <v>17</v>
      </c>
      <c r="C12" s="2"/>
      <c r="D12" s="3" t="s">
        <v>18</v>
      </c>
      <c r="E12" s="3"/>
      <c r="F12" s="3"/>
      <c r="G12" s="3"/>
    </row>
    <row r="14" ht="15" spans="1:9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545</v>
      </c>
      <c r="G14" s="9" t="s">
        <v>25</v>
      </c>
      <c r="H14" s="9" t="s">
        <v>26</v>
      </c>
      <c r="I14" s="10" t="s">
        <v>27</v>
      </c>
    </row>
    <row r="15" ht="14.25" spans="1:9">
      <c r="A15" s="22" t="s">
        <v>219</v>
      </c>
      <c r="B15" s="23" t="s">
        <v>220</v>
      </c>
      <c r="C15" s="24">
        <v>45736</v>
      </c>
      <c r="D15" s="25">
        <v>2.78</v>
      </c>
      <c r="E15" s="24">
        <v>45740</v>
      </c>
      <c r="F15" s="25">
        <v>2.75</v>
      </c>
      <c r="G15" s="26">
        <f t="shared" ref="G15:G18" si="0">F15/D15-1</f>
        <v>-0.0107913669064748</v>
      </c>
      <c r="H15" s="25" t="s">
        <v>30</v>
      </c>
      <c r="I15" s="25" t="s">
        <v>735</v>
      </c>
    </row>
    <row r="16" ht="14.25" spans="1:9">
      <c r="A16" s="22" t="s">
        <v>69</v>
      </c>
      <c r="B16" s="23" t="s">
        <v>70</v>
      </c>
      <c r="C16" s="24">
        <v>45737</v>
      </c>
      <c r="D16" s="25">
        <v>12.65</v>
      </c>
      <c r="E16" s="24">
        <v>45747</v>
      </c>
      <c r="F16" s="25">
        <v>12.04</v>
      </c>
      <c r="G16" s="26">
        <f t="shared" si="0"/>
        <v>-0.0482213438735178</v>
      </c>
      <c r="H16" s="25" t="s">
        <v>55</v>
      </c>
      <c r="I16" s="25" t="s">
        <v>736</v>
      </c>
    </row>
    <row r="17" spans="1:9">
      <c r="A17" s="17" t="s">
        <v>87</v>
      </c>
      <c r="B17" s="17" t="s">
        <v>88</v>
      </c>
      <c r="C17" s="18">
        <v>45764</v>
      </c>
      <c r="D17" s="19">
        <v>19.7</v>
      </c>
      <c r="E17" s="18">
        <v>45765</v>
      </c>
      <c r="F17" s="19">
        <v>19</v>
      </c>
      <c r="G17" s="20">
        <f t="shared" si="0"/>
        <v>-0.0355329949238579</v>
      </c>
      <c r="H17" s="19" t="s">
        <v>47</v>
      </c>
      <c r="I17" s="19" t="s">
        <v>737</v>
      </c>
    </row>
    <row r="18" spans="1:9">
      <c r="A18" s="17" t="s">
        <v>704</v>
      </c>
      <c r="B18" s="17" t="s">
        <v>705</v>
      </c>
      <c r="C18" s="18">
        <v>45764</v>
      </c>
      <c r="D18" s="19">
        <v>8.51</v>
      </c>
      <c r="E18" s="18">
        <v>45775</v>
      </c>
      <c r="F18" s="19">
        <v>8.3</v>
      </c>
      <c r="G18" s="20">
        <f t="shared" si="0"/>
        <v>-0.0246768507638072</v>
      </c>
      <c r="H18" s="19" t="s">
        <v>47</v>
      </c>
      <c r="I18" s="19" t="s">
        <v>706</v>
      </c>
    </row>
    <row r="19" spans="1:9">
      <c r="A19" s="29" t="s">
        <v>93</v>
      </c>
      <c r="B19" s="29" t="s">
        <v>94</v>
      </c>
      <c r="C19" s="30"/>
      <c r="D19" s="30"/>
      <c r="E19" s="30"/>
      <c r="F19" s="30"/>
      <c r="G19" s="30"/>
      <c r="H19" s="30" t="s">
        <v>47</v>
      </c>
      <c r="I19" s="30" t="s">
        <v>738</v>
      </c>
    </row>
    <row r="20" spans="1:9">
      <c r="A20" s="17" t="s">
        <v>485</v>
      </c>
      <c r="B20" s="17" t="s">
        <v>486</v>
      </c>
      <c r="C20" s="18">
        <v>45768</v>
      </c>
      <c r="D20" s="19">
        <v>19.3</v>
      </c>
      <c r="E20" s="18">
        <v>45772</v>
      </c>
      <c r="F20" s="19">
        <v>18.78</v>
      </c>
      <c r="G20" s="20">
        <f>F20/D20-1</f>
        <v>-0.0269430051813472</v>
      </c>
      <c r="H20" s="19" t="s">
        <v>111</v>
      </c>
      <c r="I20" s="19" t="s">
        <v>739</v>
      </c>
    </row>
    <row r="21" spans="1:9">
      <c r="A21" s="31" t="s">
        <v>28</v>
      </c>
      <c r="B21" s="31" t="s">
        <v>29</v>
      </c>
      <c r="C21" s="32">
        <v>45768</v>
      </c>
      <c r="D21" s="33">
        <v>18.4</v>
      </c>
      <c r="E21" s="33"/>
      <c r="F21" s="33">
        <v>18</v>
      </c>
      <c r="G21" s="34">
        <f t="shared" ref="G21:G28" si="1">F21/D21-1</f>
        <v>-0.0217391304347825</v>
      </c>
      <c r="H21" s="33" t="s">
        <v>30</v>
      </c>
      <c r="I21" s="33" t="s">
        <v>740</v>
      </c>
    </row>
    <row r="22" spans="1:9">
      <c r="A22" s="17" t="s">
        <v>489</v>
      </c>
      <c r="B22" s="17" t="s">
        <v>490</v>
      </c>
      <c r="C22" s="18">
        <v>45768</v>
      </c>
      <c r="D22" s="19">
        <v>3.05</v>
      </c>
      <c r="E22" s="18">
        <v>45775</v>
      </c>
      <c r="F22" s="19">
        <v>2.96</v>
      </c>
      <c r="G22" s="20">
        <f t="shared" si="1"/>
        <v>-0.0295081967213114</v>
      </c>
      <c r="H22" s="19" t="s">
        <v>111</v>
      </c>
      <c r="I22" s="19" t="s">
        <v>741</v>
      </c>
    </row>
    <row r="23" spans="1:9">
      <c r="A23" s="31" t="s">
        <v>93</v>
      </c>
      <c r="B23" s="31" t="s">
        <v>94</v>
      </c>
      <c r="C23" s="32">
        <v>45768</v>
      </c>
      <c r="D23" s="33">
        <v>25.6</v>
      </c>
      <c r="E23" s="33"/>
      <c r="F23" s="33">
        <v>25.49</v>
      </c>
      <c r="G23" s="34">
        <f t="shared" si="1"/>
        <v>-0.00429687500000009</v>
      </c>
      <c r="H23" s="33" t="s">
        <v>47</v>
      </c>
      <c r="I23" s="33" t="s">
        <v>742</v>
      </c>
    </row>
    <row r="24" spans="1:9">
      <c r="A24" s="31" t="s">
        <v>96</v>
      </c>
      <c r="B24" s="31" t="s">
        <v>97</v>
      </c>
      <c r="C24" s="32">
        <v>45768</v>
      </c>
      <c r="D24" s="33">
        <v>7.7</v>
      </c>
      <c r="E24" s="33"/>
      <c r="F24" s="33">
        <v>7.46</v>
      </c>
      <c r="G24" s="34">
        <f t="shared" si="1"/>
        <v>-0.0311688311688312</v>
      </c>
      <c r="H24" s="33" t="s">
        <v>47</v>
      </c>
      <c r="I24" s="33" t="s">
        <v>743</v>
      </c>
    </row>
    <row r="25" spans="1:9">
      <c r="A25" s="31" t="s">
        <v>302</v>
      </c>
      <c r="B25" s="31" t="s">
        <v>303</v>
      </c>
      <c r="C25" s="32">
        <v>45770</v>
      </c>
      <c r="D25" s="33">
        <v>10.17</v>
      </c>
      <c r="E25" s="33"/>
      <c r="F25" s="33">
        <v>10.07</v>
      </c>
      <c r="G25" s="34">
        <f t="shared" si="1"/>
        <v>-0.00983284169124876</v>
      </c>
      <c r="H25" s="33" t="s">
        <v>47</v>
      </c>
      <c r="I25" s="33" t="s">
        <v>607</v>
      </c>
    </row>
    <row r="26" spans="1:9">
      <c r="A26" s="17" t="s">
        <v>132</v>
      </c>
      <c r="B26" s="17" t="s">
        <v>133</v>
      </c>
      <c r="C26" s="18">
        <v>45770</v>
      </c>
      <c r="D26" s="19">
        <v>11.3</v>
      </c>
      <c r="E26" s="18">
        <v>45775</v>
      </c>
      <c r="F26" s="19">
        <v>11.3</v>
      </c>
      <c r="G26" s="20">
        <f t="shared" si="1"/>
        <v>0</v>
      </c>
      <c r="H26" s="19" t="s">
        <v>47</v>
      </c>
      <c r="I26" s="19" t="s">
        <v>744</v>
      </c>
    </row>
    <row r="27" spans="1:9">
      <c r="A27" s="31" t="s">
        <v>138</v>
      </c>
      <c r="B27" s="31" t="s">
        <v>139</v>
      </c>
      <c r="C27" s="32">
        <v>45775</v>
      </c>
      <c r="D27" s="33">
        <v>13.7</v>
      </c>
      <c r="E27" s="33"/>
      <c r="F27" s="33">
        <v>13.86</v>
      </c>
      <c r="G27" s="34">
        <f t="shared" si="1"/>
        <v>0.0116788321167884</v>
      </c>
      <c r="H27" s="33" t="s">
        <v>47</v>
      </c>
      <c r="I27" s="33" t="s">
        <v>745</v>
      </c>
    </row>
    <row r="28" spans="1:9">
      <c r="A28" s="17" t="s">
        <v>99</v>
      </c>
      <c r="B28" s="17" t="s">
        <v>100</v>
      </c>
      <c r="C28" s="18">
        <v>45770</v>
      </c>
      <c r="D28" s="19">
        <v>6.91</v>
      </c>
      <c r="E28" s="18">
        <v>45771</v>
      </c>
      <c r="F28" s="19">
        <v>6.83</v>
      </c>
      <c r="G28" s="20">
        <f t="shared" si="1"/>
        <v>-0.0115774240231549</v>
      </c>
      <c r="H28" s="19" t="s">
        <v>111</v>
      </c>
      <c r="I28" s="19" t="s">
        <v>746</v>
      </c>
    </row>
    <row r="29" spans="1:9">
      <c r="A29" s="31" t="s">
        <v>257</v>
      </c>
      <c r="B29" s="31" t="s">
        <v>258</v>
      </c>
      <c r="C29" s="33"/>
      <c r="D29" s="33"/>
      <c r="E29" s="33"/>
      <c r="F29" s="33"/>
      <c r="G29" s="33"/>
      <c r="H29" s="33" t="s">
        <v>111</v>
      </c>
      <c r="I29" s="33" t="s">
        <v>747</v>
      </c>
    </row>
    <row r="31" spans="1:9">
      <c r="A31" s="27" t="s">
        <v>748</v>
      </c>
      <c r="B31" s="27"/>
      <c r="C31" s="27"/>
      <c r="D31" s="27"/>
      <c r="E31" s="27"/>
      <c r="F31" s="27"/>
      <c r="G31" s="27"/>
      <c r="H31" s="27"/>
      <c r="I31" s="27"/>
    </row>
    <row r="32" spans="1:9">
      <c r="A32" s="9" t="s">
        <v>19</v>
      </c>
      <c r="B32" s="9" t="s">
        <v>20</v>
      </c>
      <c r="C32" s="9" t="s">
        <v>21</v>
      </c>
      <c r="D32" s="9" t="s">
        <v>22</v>
      </c>
      <c r="E32" s="9" t="s">
        <v>23</v>
      </c>
      <c r="F32" s="9" t="s">
        <v>24</v>
      </c>
      <c r="G32" s="9" t="s">
        <v>25</v>
      </c>
      <c r="H32" s="9" t="s">
        <v>26</v>
      </c>
      <c r="I32" s="10" t="s">
        <v>27</v>
      </c>
    </row>
    <row r="33" spans="1:9">
      <c r="A33" s="31" t="s">
        <v>257</v>
      </c>
      <c r="B33" s="31" t="s">
        <v>258</v>
      </c>
      <c r="C33" s="32">
        <v>45777</v>
      </c>
      <c r="D33" s="33">
        <v>13.62</v>
      </c>
      <c r="E33" s="33"/>
      <c r="F33" s="33">
        <v>15.22</v>
      </c>
      <c r="G33" s="34">
        <f t="shared" ref="G33:G38" si="2">F33/D33-1</f>
        <v>0.117474302496329</v>
      </c>
      <c r="H33" s="31" t="s">
        <v>111</v>
      </c>
      <c r="I33" s="33" t="s">
        <v>554</v>
      </c>
    </row>
    <row r="34" spans="1:9">
      <c r="A34" s="17" t="s">
        <v>28</v>
      </c>
      <c r="B34" s="17" t="s">
        <v>29</v>
      </c>
      <c r="C34" s="18">
        <v>45789</v>
      </c>
      <c r="D34" s="19">
        <v>18.95</v>
      </c>
      <c r="E34" s="18">
        <v>45792</v>
      </c>
      <c r="F34" s="19">
        <v>20.7</v>
      </c>
      <c r="G34" s="20">
        <f t="shared" si="2"/>
        <v>0.0923482849604222</v>
      </c>
      <c r="H34" s="17" t="s">
        <v>30</v>
      </c>
      <c r="I34" s="19" t="s">
        <v>749</v>
      </c>
    </row>
    <row r="35" spans="1:9">
      <c r="A35" s="17" t="s">
        <v>113</v>
      </c>
      <c r="B35" s="17" t="s">
        <v>114</v>
      </c>
      <c r="C35" s="18">
        <v>45789</v>
      </c>
      <c r="D35" s="19">
        <v>30.75</v>
      </c>
      <c r="E35" s="18">
        <v>45793</v>
      </c>
      <c r="F35" s="19">
        <v>31.12</v>
      </c>
      <c r="G35" s="20">
        <f t="shared" si="2"/>
        <v>0.0120325203252032</v>
      </c>
      <c r="H35" s="17" t="s">
        <v>30</v>
      </c>
      <c r="I35" s="19" t="s">
        <v>750</v>
      </c>
    </row>
    <row r="36" spans="1:9">
      <c r="A36" s="17" t="s">
        <v>122</v>
      </c>
      <c r="B36" s="17" t="s">
        <v>123</v>
      </c>
      <c r="C36" s="18">
        <v>45790</v>
      </c>
      <c r="D36" s="19">
        <v>29.25</v>
      </c>
      <c r="E36" s="18">
        <v>45792</v>
      </c>
      <c r="F36" s="19">
        <v>28.86</v>
      </c>
      <c r="G36" s="20">
        <f t="shared" si="2"/>
        <v>-0.0133333333333333</v>
      </c>
      <c r="H36" s="19" t="s">
        <v>47</v>
      </c>
      <c r="I36" s="19" t="s">
        <v>614</v>
      </c>
    </row>
    <row r="37" spans="1:9">
      <c r="A37" s="17" t="s">
        <v>69</v>
      </c>
      <c r="B37" s="17" t="s">
        <v>70</v>
      </c>
      <c r="C37" s="18">
        <v>45790</v>
      </c>
      <c r="D37" s="19">
        <v>10.12</v>
      </c>
      <c r="E37" s="18">
        <v>45792</v>
      </c>
      <c r="F37" s="19">
        <v>9.86</v>
      </c>
      <c r="G37" s="20">
        <f t="shared" si="2"/>
        <v>-0.025691699604743</v>
      </c>
      <c r="H37" s="17" t="s">
        <v>30</v>
      </c>
      <c r="I37" s="19" t="s">
        <v>751</v>
      </c>
    </row>
    <row r="38" spans="1:9">
      <c r="A38" s="17" t="s">
        <v>78</v>
      </c>
      <c r="B38" s="17" t="s">
        <v>79</v>
      </c>
      <c r="C38" s="18">
        <v>45790</v>
      </c>
      <c r="D38" s="19">
        <v>15.81</v>
      </c>
      <c r="E38" s="18">
        <v>45792</v>
      </c>
      <c r="F38" s="19">
        <v>15.5</v>
      </c>
      <c r="G38" s="20">
        <f t="shared" si="2"/>
        <v>-0.0196078431372549</v>
      </c>
      <c r="H38" s="17" t="s">
        <v>111</v>
      </c>
      <c r="I38" s="19" t="s">
        <v>752</v>
      </c>
    </row>
    <row r="39" spans="1:9">
      <c r="A39" s="29" t="s">
        <v>72</v>
      </c>
      <c r="B39" s="29" t="s">
        <v>73</v>
      </c>
      <c r="C39" s="30"/>
      <c r="D39" s="30"/>
      <c r="E39" s="30"/>
      <c r="F39" s="30"/>
      <c r="G39" s="33"/>
      <c r="H39" s="30" t="s">
        <v>47</v>
      </c>
      <c r="I39" s="30" t="s">
        <v>753</v>
      </c>
    </row>
    <row r="40" spans="1:9">
      <c r="A40" s="29" t="s">
        <v>99</v>
      </c>
      <c r="B40" s="29" t="s">
        <v>100</v>
      </c>
      <c r="C40" s="30"/>
      <c r="D40" s="30"/>
      <c r="E40" s="30"/>
      <c r="F40" s="30"/>
      <c r="G40" s="33"/>
      <c r="H40" s="29" t="s">
        <v>111</v>
      </c>
      <c r="I40" s="30" t="s">
        <v>754</v>
      </c>
    </row>
    <row r="41" spans="1:9">
      <c r="A41" s="17" t="s">
        <v>108</v>
      </c>
      <c r="B41" s="17" t="s">
        <v>109</v>
      </c>
      <c r="C41" s="18">
        <v>45838</v>
      </c>
      <c r="D41" s="19">
        <v>14.61</v>
      </c>
      <c r="E41" s="18">
        <v>45841</v>
      </c>
      <c r="F41" s="19">
        <v>15.11</v>
      </c>
      <c r="G41" s="20">
        <f t="shared" ref="G41:G44" si="3">F41/D41-1</f>
        <v>0.0342231348391513</v>
      </c>
      <c r="H41" s="19" t="s">
        <v>47</v>
      </c>
      <c r="I41" s="19" t="s">
        <v>755</v>
      </c>
    </row>
    <row r="42" spans="1:9">
      <c r="A42" s="17" t="s">
        <v>260</v>
      </c>
      <c r="B42" s="17" t="s">
        <v>261</v>
      </c>
      <c r="C42" s="18">
        <v>45966</v>
      </c>
      <c r="D42" s="19">
        <v>21</v>
      </c>
      <c r="E42" s="18">
        <v>45978</v>
      </c>
      <c r="F42" s="19">
        <v>21.24</v>
      </c>
      <c r="G42" s="20">
        <f t="shared" si="3"/>
        <v>0.0114285714285713</v>
      </c>
      <c r="H42" s="19" t="s">
        <v>47</v>
      </c>
      <c r="I42" s="19" t="s">
        <v>756</v>
      </c>
    </row>
    <row r="43" spans="1:9">
      <c r="A43" s="17" t="s">
        <v>395</v>
      </c>
      <c r="B43" s="17" t="s">
        <v>396</v>
      </c>
      <c r="C43" s="18">
        <v>46064</v>
      </c>
      <c r="D43" s="19">
        <v>100.3</v>
      </c>
      <c r="E43" s="18">
        <v>46065</v>
      </c>
      <c r="F43" s="19">
        <v>97.59</v>
      </c>
      <c r="G43" s="20">
        <f t="shared" si="3"/>
        <v>-0.0270189431704885</v>
      </c>
      <c r="H43" s="17" t="s">
        <v>47</v>
      </c>
      <c r="I43" s="19" t="s">
        <v>757</v>
      </c>
    </row>
    <row r="44" spans="1:9">
      <c r="A44" s="17" t="s">
        <v>376</v>
      </c>
      <c r="B44" s="17" t="s">
        <v>377</v>
      </c>
      <c r="C44" s="18">
        <v>46126</v>
      </c>
      <c r="D44" s="19">
        <v>49.66</v>
      </c>
      <c r="E44" s="18">
        <v>46136</v>
      </c>
      <c r="F44" s="19">
        <v>50.04</v>
      </c>
      <c r="G44" s="20">
        <f t="shared" si="3"/>
        <v>0.00765203383004431</v>
      </c>
      <c r="H44" s="19" t="s">
        <v>47</v>
      </c>
      <c r="I44" s="19" t="s">
        <v>758</v>
      </c>
    </row>
    <row r="45" spans="1:9">
      <c r="A45" s="35"/>
      <c r="B45" s="35"/>
    </row>
  </sheetData>
  <mergeCells count="19">
    <mergeCell ref="A1:G1"/>
    <mergeCell ref="A2:G2"/>
    <mergeCell ref="A3:G3"/>
    <mergeCell ref="B5:C5"/>
    <mergeCell ref="D5:G5"/>
    <mergeCell ref="B6:C6"/>
    <mergeCell ref="D6:G6"/>
    <mergeCell ref="B7:C7"/>
    <mergeCell ref="D7:G7"/>
    <mergeCell ref="B8:C8"/>
    <mergeCell ref="D8:G8"/>
    <mergeCell ref="D9:G9"/>
    <mergeCell ref="B10:C10"/>
    <mergeCell ref="D10:G10"/>
    <mergeCell ref="B11:C11"/>
    <mergeCell ref="D11:G11"/>
    <mergeCell ref="B12:C12"/>
    <mergeCell ref="D12:G12"/>
    <mergeCell ref="A31:I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I68"/>
  <sheetViews>
    <sheetView topLeftCell="A33" workbookViewId="0">
      <selection activeCell="G55" sqref="G55"/>
    </sheetView>
  </sheetViews>
  <sheetFormatPr defaultColWidth="9" defaultRowHeight="13.5"/>
  <cols>
    <col min="1" max="1" width="17.5" customWidth="1"/>
    <col min="2" max="2" width="22.25" customWidth="1"/>
    <col min="3" max="3" width="20.125" customWidth="1"/>
    <col min="4" max="4" width="18.625" customWidth="1"/>
    <col min="5" max="5" width="16" customWidth="1"/>
    <col min="6" max="6" width="16.125" customWidth="1"/>
    <col min="7" max="7" width="11.625" customWidth="1"/>
    <col min="9" max="9" width="68.2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2" t="s">
        <v>2</v>
      </c>
      <c r="B3" s="2"/>
      <c r="C3" s="2"/>
      <c r="D3" s="2"/>
      <c r="E3" s="2"/>
      <c r="F3" s="2"/>
      <c r="G3" s="2"/>
    </row>
    <row r="5" spans="1:9">
      <c r="A5" s="1" t="s">
        <v>3</v>
      </c>
      <c r="B5" s="1" t="s">
        <v>4</v>
      </c>
      <c r="C5" s="1"/>
      <c r="D5" s="1" t="s">
        <v>5</v>
      </c>
      <c r="E5" s="1"/>
      <c r="F5" s="1"/>
      <c r="G5" s="1"/>
    </row>
    <row r="6" spans="1:9">
      <c r="A6" s="3" t="s">
        <v>660</v>
      </c>
      <c r="B6" s="3" t="s">
        <v>759</v>
      </c>
      <c r="C6" s="3"/>
      <c r="D6" s="3" t="s">
        <v>760</v>
      </c>
      <c r="E6" s="3"/>
      <c r="F6" s="3"/>
      <c r="G6" s="3"/>
    </row>
    <row r="7" spans="1:9">
      <c r="A7" s="3" t="s">
        <v>11</v>
      </c>
      <c r="B7" s="2" t="s">
        <v>55</v>
      </c>
      <c r="C7" s="2"/>
      <c r="D7" s="3" t="s">
        <v>13</v>
      </c>
      <c r="E7" s="3"/>
      <c r="F7" s="3"/>
      <c r="G7" s="3"/>
    </row>
    <row r="8" spans="1:9">
      <c r="A8" s="3" t="s">
        <v>731</v>
      </c>
      <c r="B8" s="3" t="s">
        <v>604</v>
      </c>
      <c r="C8" s="3"/>
      <c r="D8" s="3" t="s">
        <v>732</v>
      </c>
      <c r="E8" s="3"/>
      <c r="F8" s="3"/>
      <c r="G8" s="3"/>
    </row>
    <row r="9" spans="1:9">
      <c r="A9" s="3" t="s">
        <v>733</v>
      </c>
      <c r="B9" s="6">
        <v>3</v>
      </c>
      <c r="C9" s="8"/>
      <c r="D9" s="3" t="s">
        <v>732</v>
      </c>
      <c r="E9" s="3"/>
      <c r="F9" s="3"/>
      <c r="G9" s="3"/>
    </row>
    <row r="10" spans="1:9">
      <c r="A10" s="3" t="s">
        <v>542</v>
      </c>
      <c r="B10" s="6" t="s">
        <v>543</v>
      </c>
      <c r="C10" s="8"/>
      <c r="D10" s="6" t="s">
        <v>544</v>
      </c>
      <c r="E10" s="7"/>
      <c r="F10" s="7"/>
      <c r="G10" s="8"/>
    </row>
    <row r="11" spans="1:9">
      <c r="A11" s="3" t="s">
        <v>761</v>
      </c>
      <c r="B11" s="2" t="s">
        <v>762</v>
      </c>
      <c r="C11" s="2"/>
      <c r="D11" s="3" t="s">
        <v>763</v>
      </c>
      <c r="E11" s="3"/>
      <c r="F11" s="3"/>
      <c r="G11" s="3"/>
    </row>
    <row r="13" ht="15" spans="1:9">
      <c r="A13" s="9" t="s">
        <v>19</v>
      </c>
      <c r="B13" s="9" t="s">
        <v>20</v>
      </c>
      <c r="C13" s="9" t="s">
        <v>21</v>
      </c>
      <c r="D13" s="9" t="s">
        <v>22</v>
      </c>
      <c r="E13" s="9" t="s">
        <v>23</v>
      </c>
      <c r="F13" s="9" t="s">
        <v>545</v>
      </c>
      <c r="G13" s="9" t="s">
        <v>25</v>
      </c>
      <c r="H13" s="9" t="s">
        <v>26</v>
      </c>
      <c r="I13" s="10" t="s">
        <v>27</v>
      </c>
    </row>
    <row r="14" ht="14.25" spans="1:9">
      <c r="A14" s="22" t="s">
        <v>764</v>
      </c>
      <c r="B14" s="23" t="s">
        <v>765</v>
      </c>
      <c r="C14" s="24">
        <v>45735</v>
      </c>
      <c r="D14" s="25">
        <v>8.52</v>
      </c>
      <c r="E14" s="24">
        <v>45741</v>
      </c>
      <c r="F14" s="25">
        <v>8.24</v>
      </c>
      <c r="G14" s="26">
        <f t="shared" ref="G14:G20" si="0">F14/D14-1</f>
        <v>-0.0328638497652581</v>
      </c>
      <c r="H14" s="25" t="s">
        <v>55</v>
      </c>
      <c r="I14" s="25" t="s">
        <v>766</v>
      </c>
    </row>
    <row r="15" ht="14.25" spans="1:9">
      <c r="A15" s="22" t="s">
        <v>767</v>
      </c>
      <c r="B15" s="23" t="s">
        <v>768</v>
      </c>
      <c r="C15" s="24">
        <v>45735</v>
      </c>
      <c r="D15" s="25">
        <v>2.25</v>
      </c>
      <c r="E15" s="24">
        <v>45740</v>
      </c>
      <c r="F15" s="25">
        <v>2.17</v>
      </c>
      <c r="G15" s="26">
        <f t="shared" si="0"/>
        <v>-0.0355555555555556</v>
      </c>
      <c r="H15" s="25" t="s">
        <v>55</v>
      </c>
      <c r="I15" s="25" t="s">
        <v>769</v>
      </c>
    </row>
    <row r="16" ht="14.25" spans="1:9">
      <c r="A16" s="22" t="s">
        <v>770</v>
      </c>
      <c r="B16" s="23" t="s">
        <v>771</v>
      </c>
      <c r="C16" s="24">
        <v>45735</v>
      </c>
      <c r="D16" s="25">
        <v>2.54</v>
      </c>
      <c r="E16" s="24">
        <v>45740</v>
      </c>
      <c r="F16" s="25">
        <v>2.5</v>
      </c>
      <c r="G16" s="26">
        <f t="shared" si="0"/>
        <v>-0.015748031496063</v>
      </c>
      <c r="H16" s="25" t="s">
        <v>55</v>
      </c>
      <c r="I16" s="25" t="s">
        <v>772</v>
      </c>
    </row>
    <row r="17" spans="1:9">
      <c r="A17" s="17" t="s">
        <v>773</v>
      </c>
      <c r="B17" s="17" t="s">
        <v>774</v>
      </c>
      <c r="C17" s="18">
        <v>45768</v>
      </c>
      <c r="D17" s="19">
        <v>62</v>
      </c>
      <c r="E17" s="18">
        <v>45775</v>
      </c>
      <c r="F17" s="19">
        <v>64.42</v>
      </c>
      <c r="G17" s="20">
        <f t="shared" si="0"/>
        <v>0.0390322580645162</v>
      </c>
      <c r="H17" s="19" t="s">
        <v>55</v>
      </c>
      <c r="I17" s="19" t="s">
        <v>775</v>
      </c>
    </row>
    <row r="18" spans="1:9">
      <c r="A18" s="17" t="s">
        <v>776</v>
      </c>
      <c r="B18" s="17" t="s">
        <v>777</v>
      </c>
      <c r="C18" s="18">
        <v>45768</v>
      </c>
      <c r="D18" s="19">
        <v>23.48</v>
      </c>
      <c r="E18" s="18">
        <v>45771</v>
      </c>
      <c r="F18" s="19">
        <v>23.97</v>
      </c>
      <c r="G18" s="20">
        <f t="shared" si="0"/>
        <v>0.0208688245315161</v>
      </c>
      <c r="H18" s="19" t="s">
        <v>55</v>
      </c>
      <c r="I18" s="19" t="s">
        <v>778</v>
      </c>
    </row>
    <row r="19" spans="1:9">
      <c r="A19" s="17" t="s">
        <v>779</v>
      </c>
      <c r="B19" s="17" t="s">
        <v>780</v>
      </c>
      <c r="C19" s="18">
        <v>45769</v>
      </c>
      <c r="D19" s="19">
        <v>16.64</v>
      </c>
      <c r="E19" s="18">
        <v>45775</v>
      </c>
      <c r="F19" s="19">
        <v>16.63</v>
      </c>
      <c r="G19" s="20">
        <f t="shared" si="0"/>
        <v>-0.000600961538461675</v>
      </c>
      <c r="H19" s="19" t="s">
        <v>55</v>
      </c>
      <c r="I19" s="19" t="s">
        <v>781</v>
      </c>
    </row>
    <row r="20" spans="1:9">
      <c r="A20" s="17" t="s">
        <v>782</v>
      </c>
      <c r="B20" s="17" t="s">
        <v>783</v>
      </c>
      <c r="C20" s="18">
        <v>45769</v>
      </c>
      <c r="D20" s="19">
        <v>53.71</v>
      </c>
      <c r="E20" s="18">
        <v>45771</v>
      </c>
      <c r="F20" s="19">
        <v>52.5</v>
      </c>
      <c r="G20" s="20">
        <f t="shared" si="0"/>
        <v>-0.0225283932228636</v>
      </c>
      <c r="H20" s="19" t="s">
        <v>55</v>
      </c>
      <c r="I20" s="19" t="s">
        <v>784</v>
      </c>
    </row>
    <row r="22" spans="1:9">
      <c r="A22" s="27" t="s">
        <v>785</v>
      </c>
      <c r="B22" s="27"/>
      <c r="C22" s="27"/>
      <c r="D22" s="27"/>
      <c r="E22" s="27"/>
      <c r="F22" s="27"/>
      <c r="G22" s="27"/>
      <c r="H22" s="27"/>
      <c r="I22" s="27"/>
    </row>
    <row r="23" spans="1:9">
      <c r="A23" s="9" t="s">
        <v>19</v>
      </c>
      <c r="B23" s="9" t="s">
        <v>20</v>
      </c>
      <c r="C23" s="9" t="s">
        <v>21</v>
      </c>
      <c r="D23" s="9" t="s">
        <v>22</v>
      </c>
      <c r="E23" s="9" t="s">
        <v>23</v>
      </c>
      <c r="F23" s="9" t="s">
        <v>24</v>
      </c>
      <c r="G23" s="9" t="s">
        <v>25</v>
      </c>
      <c r="H23" s="9" t="s">
        <v>26</v>
      </c>
      <c r="I23" s="10" t="s">
        <v>27</v>
      </c>
    </row>
    <row r="24" s="28" customFormat="1" spans="1:9">
      <c r="A24" s="29" t="s">
        <v>773</v>
      </c>
      <c r="B24" s="29" t="s">
        <v>774</v>
      </c>
      <c r="C24" s="30"/>
      <c r="D24" s="30"/>
      <c r="E24" s="30"/>
      <c r="F24" s="30"/>
      <c r="G24" s="30"/>
      <c r="H24" s="31" t="s">
        <v>55</v>
      </c>
      <c r="I24" s="30" t="s">
        <v>786</v>
      </c>
    </row>
    <row r="25" spans="1:9">
      <c r="A25" s="17" t="s">
        <v>787</v>
      </c>
      <c r="B25" s="17" t="s">
        <v>788</v>
      </c>
      <c r="C25" s="18">
        <v>45789</v>
      </c>
      <c r="D25" s="19">
        <v>25.83</v>
      </c>
      <c r="E25" s="18">
        <v>45791</v>
      </c>
      <c r="F25" s="19">
        <v>25.49</v>
      </c>
      <c r="G25" s="20">
        <f t="shared" ref="G25:G68" si="1">F25/D25-1</f>
        <v>-0.0131629887727449</v>
      </c>
      <c r="H25" s="17" t="s">
        <v>55</v>
      </c>
      <c r="I25" s="19" t="s">
        <v>789</v>
      </c>
    </row>
    <row r="26" spans="1:9">
      <c r="A26" s="17" t="s">
        <v>767</v>
      </c>
      <c r="B26" s="17" t="s">
        <v>768</v>
      </c>
      <c r="C26" s="18">
        <v>45790</v>
      </c>
      <c r="D26" s="19">
        <v>2.01</v>
      </c>
      <c r="E26" s="18">
        <v>45791</v>
      </c>
      <c r="F26" s="19">
        <v>1.95</v>
      </c>
      <c r="G26" s="20">
        <f t="shared" si="1"/>
        <v>-0.0298507462686566</v>
      </c>
      <c r="H26" s="17" t="s">
        <v>55</v>
      </c>
      <c r="I26" s="19" t="s">
        <v>790</v>
      </c>
    </row>
    <row r="27" spans="1:9">
      <c r="A27" s="17" t="s">
        <v>791</v>
      </c>
      <c r="B27" s="17" t="s">
        <v>792</v>
      </c>
      <c r="C27" s="18">
        <v>45840</v>
      </c>
      <c r="D27" s="19">
        <v>7.64</v>
      </c>
      <c r="E27" s="18">
        <v>45848</v>
      </c>
      <c r="F27" s="19">
        <v>8.02</v>
      </c>
      <c r="G27" s="20">
        <f t="shared" si="1"/>
        <v>0.049738219895288</v>
      </c>
      <c r="H27" s="17" t="s">
        <v>55</v>
      </c>
      <c r="I27" s="19" t="s">
        <v>793</v>
      </c>
    </row>
    <row r="28" spans="1:9">
      <c r="A28" s="17" t="s">
        <v>794</v>
      </c>
      <c r="B28" s="17" t="s">
        <v>795</v>
      </c>
      <c r="C28" s="18">
        <v>45840</v>
      </c>
      <c r="D28" s="19">
        <v>37.99</v>
      </c>
      <c r="E28" s="18">
        <v>45841</v>
      </c>
      <c r="F28" s="19">
        <v>36.86</v>
      </c>
      <c r="G28" s="20">
        <f t="shared" si="1"/>
        <v>-0.029744669649908</v>
      </c>
      <c r="H28" s="17" t="s">
        <v>55</v>
      </c>
      <c r="I28" s="19" t="s">
        <v>796</v>
      </c>
    </row>
    <row r="29" spans="1:9">
      <c r="A29" s="17" t="s">
        <v>668</v>
      </c>
      <c r="B29" s="17" t="s">
        <v>669</v>
      </c>
      <c r="C29" s="18">
        <v>45840</v>
      </c>
      <c r="D29" s="19">
        <v>5.67</v>
      </c>
      <c r="E29" s="18">
        <v>45845</v>
      </c>
      <c r="F29" s="19">
        <v>5.57</v>
      </c>
      <c r="G29" s="20">
        <f t="shared" si="1"/>
        <v>-0.0176366843033509</v>
      </c>
      <c r="H29" s="17" t="s">
        <v>55</v>
      </c>
      <c r="I29" s="19" t="s">
        <v>797</v>
      </c>
    </row>
    <row r="30" spans="1:9">
      <c r="A30" s="17" t="s">
        <v>138</v>
      </c>
      <c r="B30" s="17" t="s">
        <v>139</v>
      </c>
      <c r="C30" s="18">
        <v>45845</v>
      </c>
      <c r="D30" s="19">
        <v>15.25</v>
      </c>
      <c r="E30" s="18">
        <v>45869</v>
      </c>
      <c r="F30" s="19">
        <v>18.98</v>
      </c>
      <c r="G30" s="20">
        <f t="shared" si="1"/>
        <v>0.244590163934426</v>
      </c>
      <c r="H30" s="17" t="s">
        <v>55</v>
      </c>
      <c r="I30" s="19" t="s">
        <v>798</v>
      </c>
    </row>
    <row r="31" spans="1:9">
      <c r="A31" s="17" t="s">
        <v>799</v>
      </c>
      <c r="B31" s="17" t="s">
        <v>800</v>
      </c>
      <c r="C31" s="18">
        <v>45867</v>
      </c>
      <c r="D31" s="19">
        <v>13.26</v>
      </c>
      <c r="E31" s="18">
        <v>45881</v>
      </c>
      <c r="F31" s="19">
        <v>13.72</v>
      </c>
      <c r="G31" s="20">
        <f t="shared" si="1"/>
        <v>0.0346907993966818</v>
      </c>
      <c r="H31" s="17" t="s">
        <v>55</v>
      </c>
      <c r="I31" s="19" t="s">
        <v>801</v>
      </c>
    </row>
    <row r="32" spans="1:9">
      <c r="A32" s="17" t="s">
        <v>776</v>
      </c>
      <c r="B32" s="17" t="s">
        <v>777</v>
      </c>
      <c r="C32" s="18">
        <v>45882</v>
      </c>
      <c r="D32" s="19">
        <v>25.92</v>
      </c>
      <c r="E32" s="18">
        <v>45901</v>
      </c>
      <c r="F32" s="19">
        <v>29.5</v>
      </c>
      <c r="G32" s="20">
        <f t="shared" si="1"/>
        <v>0.138117283950617</v>
      </c>
      <c r="H32" s="17" t="s">
        <v>55</v>
      </c>
      <c r="I32" s="19" t="s">
        <v>802</v>
      </c>
    </row>
    <row r="33" spans="1:9">
      <c r="A33" s="17" t="s">
        <v>803</v>
      </c>
      <c r="B33" s="17" t="s">
        <v>804</v>
      </c>
      <c r="C33" s="18">
        <v>45884</v>
      </c>
      <c r="D33" s="19">
        <v>7.55</v>
      </c>
      <c r="E33" s="18">
        <v>45896</v>
      </c>
      <c r="F33" s="19">
        <v>7.82</v>
      </c>
      <c r="G33" s="20">
        <f t="shared" si="1"/>
        <v>0.0357615894039736</v>
      </c>
      <c r="H33" s="17" t="s">
        <v>55</v>
      </c>
      <c r="I33" s="19" t="s">
        <v>805</v>
      </c>
    </row>
    <row r="34" spans="1:9">
      <c r="A34" s="17" t="s">
        <v>646</v>
      </c>
      <c r="B34" s="17" t="s">
        <v>647</v>
      </c>
      <c r="C34" s="18">
        <v>45884</v>
      </c>
      <c r="D34" s="19">
        <v>15.59</v>
      </c>
      <c r="E34" s="18">
        <v>45896</v>
      </c>
      <c r="F34" s="19">
        <v>15.63</v>
      </c>
      <c r="G34" s="20">
        <f t="shared" si="1"/>
        <v>0.00256574727389358</v>
      </c>
      <c r="H34" s="17" t="s">
        <v>55</v>
      </c>
      <c r="I34" s="19" t="s">
        <v>806</v>
      </c>
    </row>
    <row r="35" spans="1:9">
      <c r="A35" s="17" t="s">
        <v>807</v>
      </c>
      <c r="B35" s="17" t="s">
        <v>808</v>
      </c>
      <c r="C35" s="18">
        <v>45896</v>
      </c>
      <c r="D35" s="19">
        <v>10.85</v>
      </c>
      <c r="E35" s="18">
        <v>45897</v>
      </c>
      <c r="F35" s="19">
        <v>10.5</v>
      </c>
      <c r="G35" s="20">
        <f t="shared" si="1"/>
        <v>-0.032258064516129</v>
      </c>
      <c r="H35" s="17" t="s">
        <v>55</v>
      </c>
      <c r="I35" s="19" t="s">
        <v>809</v>
      </c>
    </row>
    <row r="36" spans="1:9">
      <c r="A36" s="17" t="s">
        <v>810</v>
      </c>
      <c r="B36" s="17" t="s">
        <v>811</v>
      </c>
      <c r="C36" s="18">
        <v>45910</v>
      </c>
      <c r="D36" s="19">
        <v>20.5</v>
      </c>
      <c r="E36" s="18">
        <v>45915</v>
      </c>
      <c r="F36" s="19">
        <v>21.87</v>
      </c>
      <c r="G36" s="20">
        <f t="shared" si="1"/>
        <v>0.066829268292683</v>
      </c>
      <c r="H36" s="17" t="s">
        <v>55</v>
      </c>
      <c r="I36" s="19" t="s">
        <v>812</v>
      </c>
    </row>
    <row r="37" spans="1:9">
      <c r="A37" s="17" t="s">
        <v>813</v>
      </c>
      <c r="B37" s="17" t="s">
        <v>814</v>
      </c>
      <c r="C37" s="18">
        <v>45915</v>
      </c>
      <c r="D37" s="19">
        <v>8.78</v>
      </c>
      <c r="E37" s="18">
        <v>45918</v>
      </c>
      <c r="F37" s="19">
        <v>8.42</v>
      </c>
      <c r="G37" s="20">
        <f t="shared" si="1"/>
        <v>-0.041002277904328</v>
      </c>
      <c r="H37" s="17" t="s">
        <v>55</v>
      </c>
      <c r="I37" s="19" t="s">
        <v>815</v>
      </c>
    </row>
    <row r="38" spans="1:9">
      <c r="A38" s="17" t="s">
        <v>146</v>
      </c>
      <c r="B38" s="17" t="s">
        <v>147</v>
      </c>
      <c r="C38" s="18">
        <v>45915</v>
      </c>
      <c r="D38" s="19">
        <v>12.44</v>
      </c>
      <c r="E38" s="18">
        <v>45916</v>
      </c>
      <c r="F38" s="19">
        <v>12</v>
      </c>
      <c r="G38" s="20">
        <f t="shared" si="1"/>
        <v>-0.0353697749196141</v>
      </c>
      <c r="H38" s="17" t="s">
        <v>55</v>
      </c>
      <c r="I38" s="19" t="s">
        <v>816</v>
      </c>
    </row>
    <row r="39" spans="1:9">
      <c r="A39" s="17" t="s">
        <v>817</v>
      </c>
      <c r="B39" s="17" t="s">
        <v>818</v>
      </c>
      <c r="C39" s="18">
        <v>45917</v>
      </c>
      <c r="D39" s="19">
        <v>23.41</v>
      </c>
      <c r="E39" s="18">
        <v>45946</v>
      </c>
      <c r="F39" s="19">
        <v>27.06</v>
      </c>
      <c r="G39" s="20">
        <f t="shared" si="1"/>
        <v>0.155916275096113</v>
      </c>
      <c r="H39" s="17" t="s">
        <v>55</v>
      </c>
      <c r="I39" s="19" t="s">
        <v>819</v>
      </c>
    </row>
    <row r="40" spans="1:9">
      <c r="A40" s="17" t="s">
        <v>820</v>
      </c>
      <c r="B40" s="17" t="s">
        <v>821</v>
      </c>
      <c r="C40" s="18">
        <v>45919</v>
      </c>
      <c r="D40" s="19">
        <v>23.52</v>
      </c>
      <c r="E40" s="18">
        <v>45923</v>
      </c>
      <c r="F40" s="19">
        <v>23.33</v>
      </c>
      <c r="G40" s="20">
        <f t="shared" si="1"/>
        <v>-0.00807823129251706</v>
      </c>
      <c r="H40" s="17" t="s">
        <v>55</v>
      </c>
      <c r="I40" s="19" t="s">
        <v>822</v>
      </c>
    </row>
    <row r="41" spans="1:9">
      <c r="A41" s="17" t="s">
        <v>823</v>
      </c>
      <c r="B41" s="17" t="s">
        <v>824</v>
      </c>
      <c r="C41" s="18">
        <v>45944</v>
      </c>
      <c r="D41" s="19">
        <v>5.42</v>
      </c>
      <c r="E41" s="18">
        <v>45958</v>
      </c>
      <c r="F41" s="19">
        <v>6.3</v>
      </c>
      <c r="G41" s="20">
        <f t="shared" si="1"/>
        <v>0.162361623616236</v>
      </c>
      <c r="H41" s="17" t="s">
        <v>55</v>
      </c>
      <c r="I41" s="19" t="s">
        <v>825</v>
      </c>
    </row>
    <row r="42" spans="1:9">
      <c r="A42" s="17" t="s">
        <v>93</v>
      </c>
      <c r="B42" s="17" t="s">
        <v>94</v>
      </c>
      <c r="C42" s="18">
        <v>45944</v>
      </c>
      <c r="D42" s="19">
        <v>30.13</v>
      </c>
      <c r="E42" s="18">
        <v>45953</v>
      </c>
      <c r="F42" s="19">
        <v>28.8</v>
      </c>
      <c r="G42" s="20">
        <f t="shared" si="1"/>
        <v>-0.0441420511118485</v>
      </c>
      <c r="H42" s="17" t="s">
        <v>55</v>
      </c>
      <c r="I42" s="19" t="s">
        <v>826</v>
      </c>
    </row>
    <row r="43" spans="1:9">
      <c r="A43" s="17" t="s">
        <v>69</v>
      </c>
      <c r="B43" s="17" t="s">
        <v>70</v>
      </c>
      <c r="C43" s="18">
        <v>45945</v>
      </c>
      <c r="D43" s="19">
        <v>13.63</v>
      </c>
      <c r="E43" s="18">
        <v>45952</v>
      </c>
      <c r="F43" s="19">
        <v>13</v>
      </c>
      <c r="G43" s="20">
        <f t="shared" si="1"/>
        <v>-0.0462215700660309</v>
      </c>
      <c r="H43" s="17" t="s">
        <v>55</v>
      </c>
      <c r="I43" s="19" t="s">
        <v>645</v>
      </c>
    </row>
    <row r="44" spans="1:9">
      <c r="A44" s="17" t="s">
        <v>827</v>
      </c>
      <c r="B44" s="17" t="s">
        <v>828</v>
      </c>
      <c r="C44" s="18">
        <v>45951</v>
      </c>
      <c r="D44" s="19">
        <v>17.81</v>
      </c>
      <c r="E44" s="18">
        <v>45953</v>
      </c>
      <c r="F44" s="19">
        <v>17.2</v>
      </c>
      <c r="G44" s="20">
        <f t="shared" si="1"/>
        <v>-0.0342504211117349</v>
      </c>
      <c r="H44" s="17" t="s">
        <v>55</v>
      </c>
      <c r="I44" s="19" t="s">
        <v>829</v>
      </c>
    </row>
    <row r="45" spans="1:9">
      <c r="A45" s="17" t="s">
        <v>830</v>
      </c>
      <c r="B45" s="17" t="s">
        <v>831</v>
      </c>
      <c r="C45" s="18">
        <v>45953</v>
      </c>
      <c r="D45" s="19">
        <v>21.5</v>
      </c>
      <c r="E45" s="18">
        <v>45954</v>
      </c>
      <c r="F45" s="19">
        <v>21</v>
      </c>
      <c r="G45" s="20">
        <f t="shared" si="1"/>
        <v>-0.0232558139534884</v>
      </c>
      <c r="H45" s="17" t="s">
        <v>55</v>
      </c>
      <c r="I45" s="19" t="s">
        <v>832</v>
      </c>
    </row>
    <row r="46" spans="1:9">
      <c r="A46" s="17" t="s">
        <v>833</v>
      </c>
      <c r="B46" s="17" t="s">
        <v>834</v>
      </c>
      <c r="C46" s="18">
        <v>45953</v>
      </c>
      <c r="D46" s="19">
        <v>19.16</v>
      </c>
      <c r="E46" s="18">
        <v>45954</v>
      </c>
      <c r="F46" s="19">
        <v>18</v>
      </c>
      <c r="G46" s="20">
        <f t="shared" si="1"/>
        <v>-0.0605427974947808</v>
      </c>
      <c r="H46" s="17" t="s">
        <v>55</v>
      </c>
      <c r="I46" s="19" t="s">
        <v>835</v>
      </c>
    </row>
    <row r="47" spans="1:9">
      <c r="A47" s="17" t="s">
        <v>836</v>
      </c>
      <c r="B47" s="17" t="s">
        <v>837</v>
      </c>
      <c r="C47" s="18">
        <v>45960</v>
      </c>
      <c r="D47" s="19">
        <v>28.85</v>
      </c>
      <c r="E47" s="18">
        <v>45965</v>
      </c>
      <c r="F47" s="19">
        <v>27.94</v>
      </c>
      <c r="G47" s="20">
        <f t="shared" si="1"/>
        <v>-0.0315424610051993</v>
      </c>
      <c r="H47" s="19" t="s">
        <v>55</v>
      </c>
      <c r="I47" s="19" t="s">
        <v>838</v>
      </c>
    </row>
    <row r="48" spans="1:9">
      <c r="A48" s="17" t="s">
        <v>839</v>
      </c>
      <c r="B48" s="17" t="s">
        <v>840</v>
      </c>
      <c r="C48" s="18">
        <v>45960</v>
      </c>
      <c r="D48" s="19">
        <v>8.19</v>
      </c>
      <c r="E48" s="18">
        <v>45979</v>
      </c>
      <c r="F48" s="19">
        <v>8.55</v>
      </c>
      <c r="G48" s="20">
        <f t="shared" si="1"/>
        <v>0.043956043956044</v>
      </c>
      <c r="H48" s="19" t="s">
        <v>55</v>
      </c>
      <c r="I48" s="19" t="s">
        <v>841</v>
      </c>
    </row>
    <row r="49" spans="1:9">
      <c r="A49" s="17" t="s">
        <v>842</v>
      </c>
      <c r="B49" s="17" t="s">
        <v>843</v>
      </c>
      <c r="C49" s="18">
        <v>45961</v>
      </c>
      <c r="D49" s="19">
        <v>10.23</v>
      </c>
      <c r="E49" s="18">
        <v>45965</v>
      </c>
      <c r="F49" s="19">
        <v>10</v>
      </c>
      <c r="G49" s="20">
        <f t="shared" si="1"/>
        <v>-0.0224828934506355</v>
      </c>
      <c r="H49" s="19" t="s">
        <v>55</v>
      </c>
      <c r="I49" s="19" t="s">
        <v>844</v>
      </c>
    </row>
    <row r="50" spans="1:9">
      <c r="A50" s="17" t="s">
        <v>845</v>
      </c>
      <c r="B50" s="17" t="s">
        <v>846</v>
      </c>
      <c r="C50" s="18">
        <v>45965</v>
      </c>
      <c r="D50" s="19">
        <v>4.21</v>
      </c>
      <c r="E50" s="18">
        <v>45968</v>
      </c>
      <c r="F50" s="19">
        <v>4.23</v>
      </c>
      <c r="G50" s="20">
        <f t="shared" si="1"/>
        <v>0.00475059382422804</v>
      </c>
      <c r="H50" s="19" t="s">
        <v>55</v>
      </c>
      <c r="I50" s="19" t="s">
        <v>847</v>
      </c>
    </row>
    <row r="51" spans="1:9">
      <c r="A51" s="17" t="s">
        <v>263</v>
      </c>
      <c r="B51" s="17" t="s">
        <v>264</v>
      </c>
      <c r="C51" s="18">
        <v>45971</v>
      </c>
      <c r="D51" s="19">
        <v>4.34</v>
      </c>
      <c r="E51" s="18">
        <v>45979</v>
      </c>
      <c r="F51" s="19">
        <v>4.3</v>
      </c>
      <c r="G51" s="20">
        <f t="shared" si="1"/>
        <v>-0.00921658986175111</v>
      </c>
      <c r="H51" s="17" t="s">
        <v>55</v>
      </c>
      <c r="I51" s="19" t="s">
        <v>848</v>
      </c>
    </row>
    <row r="52" spans="1:9">
      <c r="A52" s="17" t="s">
        <v>849</v>
      </c>
      <c r="B52" s="17" t="s">
        <v>850</v>
      </c>
      <c r="C52" s="18">
        <v>45975</v>
      </c>
      <c r="D52" s="19">
        <v>5.69</v>
      </c>
      <c r="E52" s="18">
        <v>45980</v>
      </c>
      <c r="F52" s="19">
        <v>5.43</v>
      </c>
      <c r="G52" s="20">
        <f t="shared" si="1"/>
        <v>-0.045694200351494</v>
      </c>
      <c r="H52" s="17" t="s">
        <v>55</v>
      </c>
      <c r="I52" s="19" t="s">
        <v>851</v>
      </c>
    </row>
    <row r="53" spans="1:9">
      <c r="A53" s="17" t="s">
        <v>830</v>
      </c>
      <c r="B53" s="17" t="s">
        <v>831</v>
      </c>
      <c r="C53" s="18">
        <v>45995</v>
      </c>
      <c r="D53" s="19">
        <v>18.31</v>
      </c>
      <c r="E53" s="18">
        <v>46001</v>
      </c>
      <c r="F53" s="19">
        <v>18.9</v>
      </c>
      <c r="G53" s="20">
        <f t="shared" si="1"/>
        <v>0.0322228290551612</v>
      </c>
      <c r="H53" s="19" t="s">
        <v>55</v>
      </c>
      <c r="I53" s="19" t="s">
        <v>852</v>
      </c>
    </row>
    <row r="54" spans="1:9">
      <c r="A54" s="17" t="s">
        <v>853</v>
      </c>
      <c r="B54" s="17" t="s">
        <v>854</v>
      </c>
      <c r="C54" s="18">
        <v>45996</v>
      </c>
      <c r="D54" s="19">
        <v>22.51</v>
      </c>
      <c r="E54" s="18">
        <v>46007</v>
      </c>
      <c r="F54" s="19">
        <v>25.31</v>
      </c>
      <c r="G54" s="20">
        <f t="shared" si="1"/>
        <v>0.124389160373167</v>
      </c>
      <c r="H54" s="19" t="s">
        <v>55</v>
      </c>
      <c r="I54" s="19" t="s">
        <v>855</v>
      </c>
    </row>
    <row r="55" spans="1:9">
      <c r="A55" s="17" t="s">
        <v>767</v>
      </c>
      <c r="B55" s="17" t="s">
        <v>768</v>
      </c>
      <c r="C55" s="18">
        <v>45996</v>
      </c>
      <c r="D55" s="19">
        <v>3.2</v>
      </c>
      <c r="E55" s="18">
        <v>46002</v>
      </c>
      <c r="F55" s="19">
        <v>3.13</v>
      </c>
      <c r="G55" s="20">
        <f t="shared" si="1"/>
        <v>-0.0218750000000001</v>
      </c>
      <c r="H55" s="19" t="s">
        <v>55</v>
      </c>
      <c r="I55" s="19" t="s">
        <v>856</v>
      </c>
    </row>
    <row r="56" spans="1:9">
      <c r="A56" s="17" t="s">
        <v>857</v>
      </c>
      <c r="B56" s="17" t="s">
        <v>858</v>
      </c>
      <c r="C56" s="18">
        <v>45996</v>
      </c>
      <c r="D56" s="19">
        <v>11.86</v>
      </c>
      <c r="E56" s="18">
        <v>46007</v>
      </c>
      <c r="F56" s="19">
        <v>11.68</v>
      </c>
      <c r="G56" s="20">
        <f t="shared" si="1"/>
        <v>-0.0151770657672849</v>
      </c>
      <c r="H56" s="19" t="s">
        <v>55</v>
      </c>
      <c r="I56" s="19" t="s">
        <v>859</v>
      </c>
    </row>
    <row r="57" spans="1:9">
      <c r="A57" s="17" t="s">
        <v>860</v>
      </c>
      <c r="B57" s="17" t="s">
        <v>861</v>
      </c>
      <c r="C57" s="18">
        <v>45999</v>
      </c>
      <c r="D57" s="19">
        <v>48.3</v>
      </c>
      <c r="E57" s="18">
        <v>46003</v>
      </c>
      <c r="F57" s="19">
        <v>46.94</v>
      </c>
      <c r="G57" s="20">
        <f t="shared" si="1"/>
        <v>-0.0281573498964803</v>
      </c>
      <c r="H57" s="19" t="s">
        <v>55</v>
      </c>
      <c r="I57" s="19" t="s">
        <v>862</v>
      </c>
    </row>
    <row r="58" spans="1:9">
      <c r="A58" s="17" t="s">
        <v>863</v>
      </c>
      <c r="B58" s="17" t="s">
        <v>864</v>
      </c>
      <c r="C58" s="18">
        <v>46000</v>
      </c>
      <c r="D58" s="19">
        <v>4.95</v>
      </c>
      <c r="E58" s="18">
        <v>46007</v>
      </c>
      <c r="F58" s="19">
        <v>4.65</v>
      </c>
      <c r="G58" s="20">
        <f t="shared" si="1"/>
        <v>-0.0606060606060606</v>
      </c>
      <c r="H58" s="19" t="s">
        <v>55</v>
      </c>
      <c r="I58" s="19" t="s">
        <v>865</v>
      </c>
    </row>
    <row r="59" spans="1:9">
      <c r="A59" s="17" t="s">
        <v>35</v>
      </c>
      <c r="B59" s="17" t="s">
        <v>36</v>
      </c>
      <c r="C59" s="18">
        <v>46015</v>
      </c>
      <c r="D59" s="19">
        <v>35.45</v>
      </c>
      <c r="E59" s="18">
        <v>46016</v>
      </c>
      <c r="F59" s="19">
        <v>34.3</v>
      </c>
      <c r="G59" s="20">
        <f t="shared" si="1"/>
        <v>-0.0324400564174896</v>
      </c>
      <c r="H59" s="19" t="s">
        <v>55</v>
      </c>
      <c r="I59" s="19" t="s">
        <v>866</v>
      </c>
    </row>
    <row r="60" spans="1:9">
      <c r="A60" s="17" t="s">
        <v>863</v>
      </c>
      <c r="B60" s="17" t="s">
        <v>864</v>
      </c>
      <c r="C60" s="18">
        <v>46020</v>
      </c>
      <c r="D60" s="19">
        <v>5.56</v>
      </c>
      <c r="E60" s="18">
        <v>46021</v>
      </c>
      <c r="F60" s="19">
        <v>5.23</v>
      </c>
      <c r="G60" s="20">
        <f t="shared" si="1"/>
        <v>-0.0593525179856114</v>
      </c>
      <c r="H60" s="19" t="s">
        <v>55</v>
      </c>
      <c r="I60" s="19" t="s">
        <v>867</v>
      </c>
    </row>
    <row r="61" spans="1:9">
      <c r="A61" s="17" t="s">
        <v>90</v>
      </c>
      <c r="B61" s="17" t="s">
        <v>91</v>
      </c>
      <c r="C61" s="18">
        <v>46020</v>
      </c>
      <c r="D61" s="19">
        <v>10.05</v>
      </c>
      <c r="E61" s="18">
        <v>46022</v>
      </c>
      <c r="F61" s="19">
        <v>9.86</v>
      </c>
      <c r="G61" s="20">
        <f t="shared" si="1"/>
        <v>-0.0189054726368161</v>
      </c>
      <c r="H61" s="19" t="s">
        <v>55</v>
      </c>
      <c r="I61" s="19" t="s">
        <v>868</v>
      </c>
    </row>
    <row r="62" spans="1:9">
      <c r="A62" s="17" t="s">
        <v>849</v>
      </c>
      <c r="B62" s="17" t="s">
        <v>850</v>
      </c>
      <c r="C62" s="18">
        <v>46020</v>
      </c>
      <c r="D62" s="19">
        <v>5.02</v>
      </c>
      <c r="E62" s="18">
        <v>46021</v>
      </c>
      <c r="F62" s="19">
        <v>4.92</v>
      </c>
      <c r="G62" s="20">
        <f t="shared" si="1"/>
        <v>-0.0199203187250996</v>
      </c>
      <c r="H62" s="19" t="s">
        <v>55</v>
      </c>
      <c r="I62" s="19" t="s">
        <v>869</v>
      </c>
    </row>
    <row r="63" spans="1:9">
      <c r="A63" s="17" t="s">
        <v>870</v>
      </c>
      <c r="B63" s="17" t="s">
        <v>871</v>
      </c>
      <c r="C63" s="18">
        <v>46027</v>
      </c>
      <c r="D63" s="19">
        <v>8.99</v>
      </c>
      <c r="E63" s="18">
        <v>46038</v>
      </c>
      <c r="F63" s="19">
        <v>9.62</v>
      </c>
      <c r="G63" s="20">
        <f t="shared" si="1"/>
        <v>0.0700778642936595</v>
      </c>
      <c r="H63" s="19" t="s">
        <v>55</v>
      </c>
      <c r="I63" s="19" t="s">
        <v>872</v>
      </c>
    </row>
    <row r="64" spans="1:9">
      <c r="A64" s="17" t="s">
        <v>873</v>
      </c>
      <c r="B64" s="17" t="s">
        <v>874</v>
      </c>
      <c r="C64" s="18">
        <v>46079</v>
      </c>
      <c r="D64" s="19">
        <v>19.51</v>
      </c>
      <c r="E64" s="18">
        <v>46083</v>
      </c>
      <c r="F64" s="19">
        <v>19</v>
      </c>
      <c r="G64" s="20">
        <f t="shared" si="1"/>
        <v>-0.02614044079959</v>
      </c>
      <c r="H64" s="19" t="s">
        <v>55</v>
      </c>
      <c r="I64" s="19" t="s">
        <v>875</v>
      </c>
    </row>
    <row r="65" spans="1:9">
      <c r="A65" s="17" t="s">
        <v>685</v>
      </c>
      <c r="B65" s="17" t="s">
        <v>686</v>
      </c>
      <c r="C65" s="18">
        <v>46084</v>
      </c>
      <c r="D65" s="19">
        <v>3.19</v>
      </c>
      <c r="E65" s="18">
        <v>46085</v>
      </c>
      <c r="F65" s="19">
        <v>3.1</v>
      </c>
      <c r="G65" s="20">
        <f t="shared" si="1"/>
        <v>-0.0282131661442006</v>
      </c>
      <c r="H65" s="19" t="s">
        <v>55</v>
      </c>
      <c r="I65" s="19" t="s">
        <v>876</v>
      </c>
    </row>
    <row r="66" spans="1:9">
      <c r="A66" s="17" t="s">
        <v>877</v>
      </c>
      <c r="B66" s="17" t="s">
        <v>878</v>
      </c>
      <c r="C66" s="18">
        <v>46098</v>
      </c>
      <c r="D66" s="19">
        <v>10.85</v>
      </c>
      <c r="E66" s="18">
        <v>46099</v>
      </c>
      <c r="F66" s="19">
        <v>10.7</v>
      </c>
      <c r="G66" s="20">
        <f t="shared" si="1"/>
        <v>-0.0138248847926268</v>
      </c>
      <c r="H66" s="19" t="s">
        <v>55</v>
      </c>
      <c r="I66" s="19" t="s">
        <v>879</v>
      </c>
    </row>
    <row r="67" spans="1:9">
      <c r="A67" s="17" t="s">
        <v>873</v>
      </c>
      <c r="B67" s="17" t="s">
        <v>874</v>
      </c>
      <c r="C67" s="18">
        <v>46099</v>
      </c>
      <c r="D67" s="19">
        <v>18.31</v>
      </c>
      <c r="E67" s="18">
        <v>46108</v>
      </c>
      <c r="F67" s="19">
        <v>18.71</v>
      </c>
      <c r="G67" s="20">
        <f t="shared" si="1"/>
        <v>0.0218459858001094</v>
      </c>
      <c r="H67" s="19" t="s">
        <v>55</v>
      </c>
      <c r="I67" s="19" t="s">
        <v>880</v>
      </c>
    </row>
    <row r="68" spans="1:9">
      <c r="A68" s="17" t="s">
        <v>657</v>
      </c>
      <c r="B68" s="17" t="s">
        <v>658</v>
      </c>
      <c r="C68" s="18">
        <v>46160</v>
      </c>
      <c r="D68" s="19">
        <v>5.9</v>
      </c>
      <c r="E68" s="18">
        <v>46162</v>
      </c>
      <c r="F68" s="19">
        <v>5.83</v>
      </c>
      <c r="G68" s="20">
        <f t="shared" si="1"/>
        <v>-0.0118644067796611</v>
      </c>
      <c r="H68" s="19" t="s">
        <v>55</v>
      </c>
      <c r="I68" s="19" t="s">
        <v>881</v>
      </c>
    </row>
  </sheetData>
  <mergeCells count="17">
    <mergeCell ref="A1:G1"/>
    <mergeCell ref="A2:G2"/>
    <mergeCell ref="A3:G3"/>
    <mergeCell ref="B5:C5"/>
    <mergeCell ref="D5:G5"/>
    <mergeCell ref="B6:C6"/>
    <mergeCell ref="D6:G6"/>
    <mergeCell ref="B7:C7"/>
    <mergeCell ref="D7:G7"/>
    <mergeCell ref="B8:C8"/>
    <mergeCell ref="D8:G8"/>
    <mergeCell ref="D9:G9"/>
    <mergeCell ref="B10:C10"/>
    <mergeCell ref="D10:G10"/>
    <mergeCell ref="B11:C11"/>
    <mergeCell ref="D11:G11"/>
    <mergeCell ref="A22:I2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I20"/>
  <sheetViews>
    <sheetView workbookViewId="0">
      <selection activeCell="B12" sqref="B12:C12"/>
    </sheetView>
  </sheetViews>
  <sheetFormatPr defaultColWidth="9" defaultRowHeight="13.5"/>
  <cols>
    <col min="1" max="1" width="17.5" customWidth="1"/>
    <col min="2" max="2" width="22.25" customWidth="1"/>
    <col min="3" max="3" width="20.125" customWidth="1"/>
    <col min="4" max="4" width="18.875" customWidth="1"/>
    <col min="5" max="5" width="16" customWidth="1"/>
    <col min="6" max="6" width="16.125" customWidth="1"/>
    <col min="7" max="7" width="11.625" customWidth="1"/>
    <col min="9" max="9" width="57.2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2" t="s">
        <v>2</v>
      </c>
      <c r="B3" s="2"/>
      <c r="C3" s="2"/>
      <c r="D3" s="2"/>
      <c r="E3" s="2"/>
      <c r="F3" s="2"/>
      <c r="G3" s="2"/>
    </row>
    <row r="5" spans="1:9">
      <c r="A5" s="1" t="s">
        <v>3</v>
      </c>
      <c r="B5" s="1" t="s">
        <v>4</v>
      </c>
      <c r="C5" s="1"/>
      <c r="D5" s="1" t="s">
        <v>5</v>
      </c>
      <c r="E5" s="1"/>
      <c r="F5" s="1"/>
      <c r="G5" s="1"/>
    </row>
    <row r="6" spans="1:9">
      <c r="A6" s="3" t="s">
        <v>660</v>
      </c>
      <c r="B6" s="3" t="s">
        <v>638</v>
      </c>
      <c r="C6" s="3"/>
      <c r="D6" s="3" t="s">
        <v>661</v>
      </c>
      <c r="E6" s="3"/>
      <c r="F6" s="3"/>
      <c r="G6" s="3"/>
    </row>
    <row r="7" spans="1:9">
      <c r="A7" s="3" t="s">
        <v>11</v>
      </c>
      <c r="B7" s="2" t="s">
        <v>30</v>
      </c>
      <c r="C7" s="2"/>
      <c r="D7" s="3" t="s">
        <v>13</v>
      </c>
      <c r="E7" s="3"/>
      <c r="F7" s="3"/>
      <c r="G7" s="3"/>
    </row>
    <row r="8" spans="1:9">
      <c r="A8" s="3" t="s">
        <v>536</v>
      </c>
      <c r="B8" s="3" t="s">
        <v>537</v>
      </c>
      <c r="C8" s="3"/>
      <c r="D8" s="3" t="s">
        <v>882</v>
      </c>
      <c r="E8" s="3"/>
      <c r="F8" s="3"/>
      <c r="G8" s="3"/>
    </row>
    <row r="9" spans="1:9">
      <c r="A9" s="3" t="s">
        <v>14</v>
      </c>
      <c r="B9" s="6" t="s">
        <v>883</v>
      </c>
      <c r="C9" s="8"/>
      <c r="D9" s="3" t="s">
        <v>15</v>
      </c>
      <c r="E9" s="3"/>
      <c r="F9" s="3"/>
      <c r="G9" s="3"/>
    </row>
    <row r="10" spans="1:9">
      <c r="A10" s="3" t="s">
        <v>884</v>
      </c>
      <c r="B10" s="6" t="s">
        <v>885</v>
      </c>
      <c r="C10" s="8"/>
      <c r="D10" s="6" t="s">
        <v>886</v>
      </c>
      <c r="E10" s="7"/>
      <c r="F10" s="7"/>
      <c r="G10" s="8"/>
    </row>
    <row r="11" spans="1:9">
      <c r="A11" s="3" t="s">
        <v>887</v>
      </c>
      <c r="B11" s="6" t="s">
        <v>888</v>
      </c>
      <c r="C11" s="8"/>
      <c r="D11" s="6" t="s">
        <v>889</v>
      </c>
      <c r="E11" s="7"/>
      <c r="F11" s="7"/>
      <c r="G11" s="8"/>
    </row>
    <row r="12" ht="56" customHeight="1" spans="1:9">
      <c r="A12" s="3" t="s">
        <v>16</v>
      </c>
      <c r="B12" s="2" t="s">
        <v>17</v>
      </c>
      <c r="C12" s="2"/>
      <c r="D12" s="3" t="s">
        <v>18</v>
      </c>
      <c r="E12" s="3"/>
      <c r="F12" s="3"/>
      <c r="G12" s="3"/>
    </row>
    <row r="14" ht="15" spans="1:9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545</v>
      </c>
      <c r="G14" s="9" t="s">
        <v>25</v>
      </c>
      <c r="H14" s="9" t="s">
        <v>26</v>
      </c>
      <c r="I14" s="10" t="s">
        <v>27</v>
      </c>
    </row>
    <row r="15" ht="14.25" spans="1:9">
      <c r="A15" s="22" t="s">
        <v>234</v>
      </c>
      <c r="B15" s="23" t="s">
        <v>235</v>
      </c>
      <c r="C15" s="24">
        <v>45737</v>
      </c>
      <c r="D15" s="25">
        <v>3.74</v>
      </c>
      <c r="E15" s="24">
        <v>45740</v>
      </c>
      <c r="F15" s="25">
        <v>3.55</v>
      </c>
      <c r="G15" s="26">
        <f t="shared" ref="G15:G20" si="0">F15/D15-1</f>
        <v>-0.0508021390374332</v>
      </c>
      <c r="H15" s="25" t="s">
        <v>30</v>
      </c>
      <c r="I15" s="25" t="s">
        <v>890</v>
      </c>
    </row>
    <row r="17" spans="1:9">
      <c r="A17" s="27" t="s">
        <v>891</v>
      </c>
      <c r="B17" s="27"/>
      <c r="C17" s="27"/>
      <c r="D17" s="27"/>
      <c r="E17" s="27"/>
      <c r="F17" s="27"/>
      <c r="G17" s="27"/>
      <c r="H17" s="27"/>
      <c r="I17" s="27"/>
    </row>
    <row r="18" spans="1:9">
      <c r="A18" s="9" t="s">
        <v>19</v>
      </c>
      <c r="B18" s="9" t="s">
        <v>20</v>
      </c>
      <c r="C18" s="9" t="s">
        <v>21</v>
      </c>
      <c r="D18" s="9" t="s">
        <v>22</v>
      </c>
      <c r="E18" s="9" t="s">
        <v>23</v>
      </c>
      <c r="F18" s="9" t="s">
        <v>24</v>
      </c>
      <c r="G18" s="9" t="s">
        <v>25</v>
      </c>
      <c r="H18" s="9" t="s">
        <v>26</v>
      </c>
      <c r="I18" s="10" t="s">
        <v>27</v>
      </c>
    </row>
    <row r="19" spans="1:9">
      <c r="A19" s="17" t="s">
        <v>892</v>
      </c>
      <c r="B19" s="17" t="s">
        <v>893</v>
      </c>
      <c r="C19" s="18">
        <v>45817</v>
      </c>
      <c r="D19" s="19">
        <v>31.72</v>
      </c>
      <c r="E19" s="18">
        <v>45824</v>
      </c>
      <c r="F19" s="19">
        <v>34.5</v>
      </c>
      <c r="G19" s="20">
        <f t="shared" si="0"/>
        <v>0.0876418663303911</v>
      </c>
      <c r="H19" s="19" t="s">
        <v>30</v>
      </c>
      <c r="I19" s="19" t="s">
        <v>894</v>
      </c>
    </row>
    <row r="20" spans="1:9">
      <c r="A20" s="17" t="s">
        <v>182</v>
      </c>
      <c r="B20" s="17" t="s">
        <v>183</v>
      </c>
      <c r="C20" s="18">
        <v>46008</v>
      </c>
      <c r="D20" s="19">
        <v>21.74</v>
      </c>
      <c r="E20" s="18">
        <v>46015</v>
      </c>
      <c r="F20" s="19">
        <v>21.92</v>
      </c>
      <c r="G20" s="20">
        <f t="shared" si="0"/>
        <v>0.0082796688132476</v>
      </c>
      <c r="H20" s="17" t="s">
        <v>30</v>
      </c>
      <c r="I20" s="19" t="s">
        <v>895</v>
      </c>
    </row>
  </sheetData>
  <mergeCells count="19">
    <mergeCell ref="A1:G1"/>
    <mergeCell ref="A2:G2"/>
    <mergeCell ref="A3:G3"/>
    <mergeCell ref="B5:C5"/>
    <mergeCell ref="D5:G5"/>
    <mergeCell ref="B6:C6"/>
    <mergeCell ref="D6:G6"/>
    <mergeCell ref="B7:C7"/>
    <mergeCell ref="D7:G7"/>
    <mergeCell ref="B8:C8"/>
    <mergeCell ref="D8:G8"/>
    <mergeCell ref="D9:G9"/>
    <mergeCell ref="B10:C10"/>
    <mergeCell ref="D10:G10"/>
    <mergeCell ref="B11:C11"/>
    <mergeCell ref="D11:G11"/>
    <mergeCell ref="B12:C12"/>
    <mergeCell ref="D12:G12"/>
    <mergeCell ref="A17:I17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I20"/>
  <sheetViews>
    <sheetView workbookViewId="0">
      <selection activeCell="C14" sqref="C14"/>
    </sheetView>
  </sheetViews>
  <sheetFormatPr defaultColWidth="9" defaultRowHeight="13.5"/>
  <cols>
    <col min="1" max="1" width="17.5" customWidth="1"/>
    <col min="2" max="2" width="22.25" customWidth="1"/>
    <col min="3" max="4" width="20.125" customWidth="1"/>
    <col min="5" max="5" width="16" customWidth="1"/>
    <col min="6" max="6" width="16.125" customWidth="1"/>
    <col min="7" max="7" width="11.625" customWidth="1"/>
    <col min="9" max="9" width="13.2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2" t="s">
        <v>2</v>
      </c>
      <c r="B3" s="2"/>
      <c r="C3" s="2"/>
      <c r="D3" s="2"/>
      <c r="E3" s="2"/>
      <c r="F3" s="2"/>
      <c r="G3" s="2"/>
    </row>
    <row r="5" spans="1:9">
      <c r="A5" s="1" t="s">
        <v>3</v>
      </c>
      <c r="B5" s="1" t="s">
        <v>4</v>
      </c>
      <c r="C5" s="1"/>
      <c r="D5" s="1" t="s">
        <v>5</v>
      </c>
      <c r="E5" s="1"/>
      <c r="F5" s="1"/>
      <c r="G5" s="1"/>
    </row>
    <row r="6" spans="1:9">
      <c r="A6" s="3" t="s">
        <v>660</v>
      </c>
      <c r="B6" s="3" t="s">
        <v>759</v>
      </c>
      <c r="C6" s="3"/>
      <c r="D6" s="3" t="s">
        <v>661</v>
      </c>
      <c r="E6" s="3"/>
      <c r="F6" s="3"/>
      <c r="G6" s="3"/>
    </row>
    <row r="7" spans="1:9">
      <c r="A7" s="3" t="s">
        <v>11</v>
      </c>
      <c r="B7" s="2" t="s">
        <v>47</v>
      </c>
      <c r="C7" s="2"/>
      <c r="D7" s="3" t="s">
        <v>13</v>
      </c>
      <c r="E7" s="3"/>
      <c r="F7" s="3"/>
      <c r="G7" s="3"/>
    </row>
    <row r="8" spans="1:9">
      <c r="A8" s="3" t="s">
        <v>896</v>
      </c>
      <c r="B8" s="4" t="s">
        <v>897</v>
      </c>
      <c r="C8" s="5"/>
      <c r="D8" s="6" t="s">
        <v>898</v>
      </c>
      <c r="E8" s="7"/>
      <c r="F8" s="7"/>
      <c r="G8" s="8"/>
    </row>
    <row r="9" spans="1:9">
      <c r="A9" s="3" t="s">
        <v>536</v>
      </c>
      <c r="B9" s="3" t="s">
        <v>537</v>
      </c>
      <c r="C9" s="3"/>
      <c r="D9" s="3" t="s">
        <v>882</v>
      </c>
      <c r="E9" s="3"/>
      <c r="F9" s="3"/>
      <c r="G9" s="3"/>
    </row>
    <row r="10" spans="1:9">
      <c r="A10" s="3" t="s">
        <v>539</v>
      </c>
      <c r="B10" s="6" t="s">
        <v>540</v>
      </c>
      <c r="C10" s="8"/>
      <c r="D10" s="6" t="s">
        <v>541</v>
      </c>
      <c r="E10" s="7"/>
      <c r="F10" s="7"/>
      <c r="G10" s="8"/>
    </row>
    <row r="11" spans="1:9">
      <c r="A11" s="3" t="s">
        <v>14</v>
      </c>
      <c r="B11" s="6" t="s">
        <v>7</v>
      </c>
      <c r="C11" s="8"/>
      <c r="D11" s="3" t="s">
        <v>15</v>
      </c>
      <c r="E11" s="3"/>
      <c r="F11" s="3"/>
      <c r="G11" s="3"/>
    </row>
    <row r="12" ht="51" customHeight="1" spans="1:9">
      <c r="A12" s="3" t="s">
        <v>16</v>
      </c>
      <c r="B12" s="2" t="s">
        <v>17</v>
      </c>
      <c r="C12" s="2"/>
      <c r="D12" s="3" t="s">
        <v>18</v>
      </c>
      <c r="E12" s="3"/>
      <c r="F12" s="3"/>
      <c r="G12" s="3"/>
    </row>
    <row r="14" ht="15" spans="1:9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545</v>
      </c>
      <c r="G14" s="9" t="s">
        <v>25</v>
      </c>
      <c r="H14" s="9" t="s">
        <v>26</v>
      </c>
      <c r="I14" s="10" t="s">
        <v>27</v>
      </c>
    </row>
    <row r="15" ht="14.25" spans="1:9">
      <c r="A15" s="11" t="s">
        <v>90</v>
      </c>
      <c r="B15" s="12" t="s">
        <v>91</v>
      </c>
      <c r="C15" s="13"/>
      <c r="D15" s="13"/>
      <c r="E15" s="13"/>
      <c r="F15" s="13"/>
      <c r="G15" s="13"/>
      <c r="H15" s="13" t="s">
        <v>47</v>
      </c>
      <c r="I15" s="13" t="s">
        <v>92</v>
      </c>
    </row>
    <row r="16" ht="14.25" spans="1:9">
      <c r="A16" s="11" t="s">
        <v>93</v>
      </c>
      <c r="B16" s="12" t="s">
        <v>94</v>
      </c>
      <c r="C16" s="13"/>
      <c r="D16" s="13"/>
      <c r="E16" s="13"/>
      <c r="F16" s="13"/>
      <c r="G16" s="13"/>
      <c r="H16" s="13" t="s">
        <v>47</v>
      </c>
      <c r="I16" s="13" t="s">
        <v>95</v>
      </c>
    </row>
    <row r="17" ht="14.25" spans="1:9">
      <c r="A17" s="11" t="s">
        <v>96</v>
      </c>
      <c r="B17" s="12" t="s">
        <v>97</v>
      </c>
      <c r="C17" s="13"/>
      <c r="D17" s="13"/>
      <c r="E17" s="13"/>
      <c r="F17" s="13"/>
      <c r="G17" s="13"/>
      <c r="H17" s="13" t="s">
        <v>47</v>
      </c>
      <c r="I17" s="13" t="s">
        <v>98</v>
      </c>
    </row>
    <row r="19" spans="1:9">
      <c r="A19" s="21" t="s">
        <v>891</v>
      </c>
      <c r="B19" s="21"/>
      <c r="C19" s="21"/>
      <c r="D19" s="21"/>
      <c r="E19" s="21"/>
      <c r="F19" s="21"/>
      <c r="G19" s="21"/>
      <c r="H19" s="21"/>
      <c r="I19" s="21"/>
    </row>
    <row r="20" spans="1:9">
      <c r="A20" s="9" t="s">
        <v>19</v>
      </c>
      <c r="B20" s="9" t="s">
        <v>20</v>
      </c>
      <c r="C20" s="9" t="s">
        <v>21</v>
      </c>
      <c r="D20" s="9" t="s">
        <v>22</v>
      </c>
      <c r="E20" s="9" t="s">
        <v>23</v>
      </c>
      <c r="F20" s="9" t="s">
        <v>24</v>
      </c>
      <c r="G20" s="9" t="s">
        <v>25</v>
      </c>
      <c r="H20" s="9" t="s">
        <v>26</v>
      </c>
      <c r="I20" s="10" t="s">
        <v>27</v>
      </c>
    </row>
  </sheetData>
  <mergeCells count="19">
    <mergeCell ref="A1:G1"/>
    <mergeCell ref="A2:G2"/>
    <mergeCell ref="A3:G3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D11:G11"/>
    <mergeCell ref="B12:C12"/>
    <mergeCell ref="D12:G12"/>
    <mergeCell ref="A19:I19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I24"/>
  <sheetViews>
    <sheetView workbookViewId="0">
      <selection activeCell="F31" sqref="F31"/>
    </sheetView>
  </sheetViews>
  <sheetFormatPr defaultColWidth="9" defaultRowHeight="13.5"/>
  <cols>
    <col min="1" max="1" width="17.5" customWidth="1"/>
    <col min="2" max="2" width="22.25" customWidth="1"/>
    <col min="3" max="3" width="20.125" customWidth="1"/>
    <col min="4" max="4" width="19" customWidth="1"/>
    <col min="5" max="5" width="16" customWidth="1"/>
    <col min="6" max="6" width="16.125" customWidth="1"/>
    <col min="7" max="7" width="11.625" customWidth="1"/>
    <col min="9" max="9" width="29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2" t="s">
        <v>2</v>
      </c>
      <c r="B3" s="2"/>
      <c r="C3" s="2"/>
      <c r="D3" s="2"/>
      <c r="E3" s="2"/>
      <c r="F3" s="2"/>
      <c r="G3" s="2"/>
    </row>
    <row r="5" spans="1:9">
      <c r="A5" s="1" t="s">
        <v>3</v>
      </c>
      <c r="B5" s="1" t="s">
        <v>4</v>
      </c>
      <c r="C5" s="1"/>
      <c r="D5" s="1" t="s">
        <v>5</v>
      </c>
      <c r="E5" s="1"/>
      <c r="F5" s="1"/>
      <c r="G5" s="1"/>
    </row>
    <row r="6" spans="1:9">
      <c r="A6" s="3" t="s">
        <v>660</v>
      </c>
      <c r="B6" s="3" t="s">
        <v>759</v>
      </c>
      <c r="C6" s="3"/>
      <c r="D6" s="3" t="s">
        <v>661</v>
      </c>
      <c r="E6" s="3"/>
      <c r="F6" s="3"/>
      <c r="G6" s="3"/>
    </row>
    <row r="7" spans="1:9">
      <c r="A7" s="3" t="s">
        <v>11</v>
      </c>
      <c r="B7" s="2" t="s">
        <v>12</v>
      </c>
      <c r="C7" s="2"/>
      <c r="D7" s="3" t="s">
        <v>13</v>
      </c>
      <c r="E7" s="3"/>
      <c r="F7" s="3"/>
      <c r="G7" s="3"/>
    </row>
    <row r="8" spans="1:9">
      <c r="A8" s="3" t="s">
        <v>899</v>
      </c>
      <c r="B8" s="4" t="s">
        <v>897</v>
      </c>
      <c r="C8" s="5"/>
      <c r="D8" s="6" t="s">
        <v>900</v>
      </c>
      <c r="E8" s="7"/>
      <c r="F8" s="7"/>
      <c r="G8" s="8"/>
    </row>
    <row r="9" spans="1:9">
      <c r="A9" s="3" t="s">
        <v>536</v>
      </c>
      <c r="B9" s="3" t="s">
        <v>537</v>
      </c>
      <c r="C9" s="3"/>
      <c r="D9" s="3" t="s">
        <v>882</v>
      </c>
      <c r="E9" s="3"/>
      <c r="F9" s="3"/>
      <c r="G9" s="3"/>
    </row>
    <row r="10" spans="1:9">
      <c r="A10" s="3" t="s">
        <v>539</v>
      </c>
      <c r="B10" s="6" t="s">
        <v>540</v>
      </c>
      <c r="C10" s="8"/>
      <c r="D10" s="6" t="s">
        <v>541</v>
      </c>
      <c r="E10" s="7"/>
      <c r="F10" s="7"/>
      <c r="G10" s="8"/>
    </row>
    <row r="11" spans="1:9">
      <c r="A11" s="6" t="s">
        <v>901</v>
      </c>
      <c r="B11" s="7"/>
      <c r="C11" s="7"/>
      <c r="D11" s="7"/>
      <c r="E11" s="7"/>
      <c r="F11" s="7"/>
      <c r="G11" s="8"/>
    </row>
    <row r="12" ht="54" customHeight="1" spans="1:9">
      <c r="A12" s="3" t="s">
        <v>16</v>
      </c>
      <c r="B12" s="2" t="s">
        <v>17</v>
      </c>
      <c r="C12" s="2"/>
      <c r="D12" s="3" t="s">
        <v>18</v>
      </c>
      <c r="E12" s="3"/>
      <c r="F12" s="3"/>
      <c r="G12" s="3"/>
    </row>
    <row r="14" ht="15" spans="1:9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545</v>
      </c>
      <c r="G14" s="9" t="s">
        <v>25</v>
      </c>
      <c r="H14" s="9" t="s">
        <v>26</v>
      </c>
      <c r="I14" s="10" t="s">
        <v>27</v>
      </c>
    </row>
    <row r="15" ht="14.25" spans="1:9">
      <c r="A15" s="11" t="s">
        <v>90</v>
      </c>
      <c r="B15" s="12" t="s">
        <v>91</v>
      </c>
      <c r="C15" s="13"/>
      <c r="D15" s="13"/>
      <c r="E15" s="13"/>
      <c r="F15" s="13"/>
      <c r="G15" s="13"/>
      <c r="H15" s="13" t="s">
        <v>47</v>
      </c>
      <c r="I15" s="13" t="s">
        <v>92</v>
      </c>
    </row>
    <row r="16" ht="14.25" spans="1:9">
      <c r="A16" s="11" t="s">
        <v>93</v>
      </c>
      <c r="B16" s="12" t="s">
        <v>94</v>
      </c>
      <c r="C16" s="13"/>
      <c r="D16" s="13"/>
      <c r="E16" s="13"/>
      <c r="F16" s="13"/>
      <c r="G16" s="13"/>
      <c r="H16" s="13" t="s">
        <v>47</v>
      </c>
      <c r="I16" s="13" t="s">
        <v>95</v>
      </c>
    </row>
    <row r="17" ht="14.25" spans="1:9">
      <c r="A17" s="11" t="s">
        <v>96</v>
      </c>
      <c r="B17" s="12" t="s">
        <v>97</v>
      </c>
      <c r="C17" s="13"/>
      <c r="D17" s="13"/>
      <c r="E17" s="13"/>
      <c r="F17" s="13"/>
      <c r="G17" s="13"/>
      <c r="H17" s="13" t="s">
        <v>47</v>
      </c>
      <c r="I17" s="13" t="s">
        <v>98</v>
      </c>
    </row>
    <row r="19" spans="1:9">
      <c r="A19" s="14" t="s">
        <v>891</v>
      </c>
      <c r="B19" s="14"/>
      <c r="C19" s="14"/>
      <c r="D19" s="14"/>
      <c r="E19" s="14"/>
      <c r="F19" s="14"/>
      <c r="G19" s="14"/>
      <c r="H19" s="14"/>
      <c r="I19" s="14"/>
    </row>
    <row r="20" spans="1:9">
      <c r="A20" s="15" t="s">
        <v>19</v>
      </c>
      <c r="B20" s="15" t="s">
        <v>20</v>
      </c>
      <c r="C20" s="15" t="s">
        <v>21</v>
      </c>
      <c r="D20" s="15" t="s">
        <v>22</v>
      </c>
      <c r="E20" s="15" t="s">
        <v>23</v>
      </c>
      <c r="F20" s="15" t="s">
        <v>24</v>
      </c>
      <c r="G20" s="15" t="s">
        <v>25</v>
      </c>
      <c r="H20" s="15" t="s">
        <v>26</v>
      </c>
      <c r="I20" s="16" t="s">
        <v>27</v>
      </c>
    </row>
    <row r="21" spans="1:9">
      <c r="A21" s="17" t="s">
        <v>902</v>
      </c>
      <c r="B21" s="17" t="s">
        <v>903</v>
      </c>
      <c r="C21" s="18">
        <v>45915</v>
      </c>
      <c r="D21" s="19">
        <v>5.72</v>
      </c>
      <c r="E21" s="18">
        <v>45918</v>
      </c>
      <c r="F21" s="19">
        <v>5.62</v>
      </c>
      <c r="G21" s="20">
        <f t="shared" ref="G21:G24" si="0">F21/D21-1</f>
        <v>-0.0174825174825174</v>
      </c>
      <c r="H21" s="17" t="s">
        <v>55</v>
      </c>
      <c r="I21" s="19" t="s">
        <v>904</v>
      </c>
    </row>
    <row r="22" spans="1:9">
      <c r="A22" s="17" t="s">
        <v>905</v>
      </c>
      <c r="B22" s="17" t="s">
        <v>906</v>
      </c>
      <c r="C22" s="18">
        <v>45996</v>
      </c>
      <c r="D22" s="19">
        <v>5.59</v>
      </c>
      <c r="E22" s="18">
        <v>46000</v>
      </c>
      <c r="F22" s="19">
        <v>6</v>
      </c>
      <c r="G22" s="20">
        <f t="shared" si="0"/>
        <v>0.0733452593917709</v>
      </c>
      <c r="H22" s="19" t="s">
        <v>55</v>
      </c>
      <c r="I22" s="19" t="s">
        <v>907</v>
      </c>
    </row>
    <row r="23" spans="1:9">
      <c r="A23" s="17" t="s">
        <v>908</v>
      </c>
      <c r="B23" s="17" t="s">
        <v>909</v>
      </c>
      <c r="C23" s="18">
        <v>46168</v>
      </c>
      <c r="D23" s="19">
        <v>16.48</v>
      </c>
      <c r="E23" s="18">
        <v>46176</v>
      </c>
      <c r="F23" s="19">
        <v>15.3</v>
      </c>
      <c r="G23" s="20">
        <f t="shared" si="0"/>
        <v>-0.0716019417475728</v>
      </c>
      <c r="H23" s="19" t="s">
        <v>55</v>
      </c>
      <c r="I23" s="19" t="s">
        <v>910</v>
      </c>
    </row>
    <row r="24" spans="1:9">
      <c r="A24" s="17" t="s">
        <v>911</v>
      </c>
      <c r="B24" s="17" t="s">
        <v>912</v>
      </c>
      <c r="C24" s="18">
        <v>46174</v>
      </c>
      <c r="D24" s="19">
        <v>9.9</v>
      </c>
      <c r="E24" s="18">
        <v>46176</v>
      </c>
      <c r="F24" s="19">
        <v>9.86</v>
      </c>
      <c r="G24" s="20">
        <f t="shared" si="0"/>
        <v>-0.00404040404040418</v>
      </c>
      <c r="H24" s="19" t="s">
        <v>111</v>
      </c>
      <c r="I24" s="19" t="s">
        <v>913</v>
      </c>
    </row>
  </sheetData>
  <mergeCells count="19">
    <mergeCell ref="A1:G1"/>
    <mergeCell ref="A2:G2"/>
    <mergeCell ref="A3:G3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A11:G11"/>
    <mergeCell ref="B12:C12"/>
    <mergeCell ref="D12:G12"/>
    <mergeCell ref="A19:I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测试策略1</vt:lpstr>
      <vt:lpstr>测试策略2</vt:lpstr>
      <vt:lpstr>测试策略3</vt:lpstr>
      <vt:lpstr>测试策略4</vt:lpstr>
      <vt:lpstr>测试策略5</vt:lpstr>
      <vt:lpstr>测试策略6</vt:lpstr>
      <vt:lpstr>测试策略7</vt:lpstr>
      <vt:lpstr>测试策略8</vt:lpstr>
      <vt:lpstr>测试策略9</vt:lpstr>
      <vt:lpstr>测试策略10</vt:lpstr>
      <vt:lpstr>测试策略11</vt:lpstr>
      <vt:lpstr>测试策略12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这是昵称</cp:lastModifiedBy>
  <dcterms:created xsi:type="dcterms:W3CDTF">2023-05-12T11:15:00Z</dcterms:created>
  <dcterms:modified xsi:type="dcterms:W3CDTF">2026-06-08T08:27:21Z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EM_Doc_Temp_ID">
    <vt:lpwstr>A737D365-FF53-4D70-B8A5-414171159DAD</vt:lpwstr>
  </property>
  <property fmtid="{D5CDD505-2E9C-101B-9397-08002B2CF9AE}" pid="4" name="ICV">
    <vt:lpwstr>344210B4AD8F43E9BF9DBFBF012B81A7_12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